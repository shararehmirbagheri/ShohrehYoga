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bak\Downloads\"/>
    </mc:Choice>
  </mc:AlternateContent>
  <bookViews>
    <workbookView xWindow="0" yWindow="0" windowWidth="23940" windowHeight="9600"/>
  </bookViews>
  <sheets>
    <sheet name="1" sheetId="1" r:id="rId1"/>
    <sheet name="لیست حضور و غیاب" sheetId="5" r:id="rId2"/>
    <sheet name="سمانه عقاپور" sheetId="3" r:id="rId3"/>
    <sheet name="مریم داداشی" sheetId="6" r:id="rId4"/>
  </sheets>
  <definedNames>
    <definedName name="_xlnm._FilterDatabase" localSheetId="0" hidden="1">'1'!$A$2:$HO$34</definedName>
    <definedName name="_xlnm._FilterDatabase" localSheetId="1" hidden="1">'لیست حضور و غیاب'!$A$2:$FR$34</definedName>
    <definedName name="_xlnm.Print_Area" localSheetId="0">'1'!$A$1:$BE$34</definedName>
    <definedName name="_xlnm.Print_Area" localSheetId="1">'لیست حضور و غیاب'!$A$1:$X$34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4" i="1" l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C5" i="6"/>
  <c r="C6" i="6"/>
  <c r="C5" i="3"/>
  <c r="C6" i="3" s="1"/>
</calcChain>
</file>

<file path=xl/sharedStrings.xml><?xml version="1.0" encoding="utf-8"?>
<sst xmlns="http://schemas.openxmlformats.org/spreadsheetml/2006/main" count="865" uniqueCount="266">
  <si>
    <t>ردیف</t>
  </si>
  <si>
    <t>نام و نام خانوادگی</t>
  </si>
  <si>
    <t>سمانه عقاپور</t>
  </si>
  <si>
    <t>مریم داداشی</t>
  </si>
  <si>
    <t>شهناز سعادتی پناه</t>
  </si>
  <si>
    <t>بهار اسکندری</t>
  </si>
  <si>
    <t>الهام تبار</t>
  </si>
  <si>
    <t>پگاه ستاره سنج</t>
  </si>
  <si>
    <t>عصمت نجارپور</t>
  </si>
  <si>
    <t>مریم کامدار</t>
  </si>
  <si>
    <t>کتایون احزن</t>
  </si>
  <si>
    <t>فریبا فقانی</t>
  </si>
  <si>
    <t>رها بلوچی</t>
  </si>
  <si>
    <t>زینب زهرایی</t>
  </si>
  <si>
    <t>سونا نوری</t>
  </si>
  <si>
    <t>فهیمه عابدینی</t>
  </si>
  <si>
    <t>سمانه شریف نژاد</t>
  </si>
  <si>
    <t>رزا نظری</t>
  </si>
  <si>
    <t>هستی امیرخانی</t>
  </si>
  <si>
    <t>حمیده حقدل</t>
  </si>
  <si>
    <t>فرزانه محمدی</t>
  </si>
  <si>
    <t>دلینا محرابی</t>
  </si>
  <si>
    <t>مریم قنبری</t>
  </si>
  <si>
    <t>کتی بابایی</t>
  </si>
  <si>
    <t>نازنین خسروی</t>
  </si>
  <si>
    <t>پرسیا زبده</t>
  </si>
  <si>
    <t>مریم بخارایی</t>
  </si>
  <si>
    <t>صدیقه جلیلیان</t>
  </si>
  <si>
    <t>ونوس</t>
  </si>
  <si>
    <t>مریم اصغری</t>
  </si>
  <si>
    <t>زهرا فرد احمدی</t>
  </si>
  <si>
    <t>معصومه زاهدی</t>
  </si>
  <si>
    <t>فائزه</t>
  </si>
  <si>
    <t>بهناز اسکویی</t>
  </si>
  <si>
    <t>تعداد جلسات واریزی</t>
  </si>
  <si>
    <t>تعداد
 جلسات واریزی</t>
  </si>
  <si>
    <t>تاریخ 
ثبت نام دوره بعدی</t>
  </si>
  <si>
    <t>ندارد</t>
  </si>
  <si>
    <t>دارد</t>
  </si>
  <si>
    <t>3
ش</t>
  </si>
  <si>
    <t>4
ی</t>
  </si>
  <si>
    <t>5
د</t>
  </si>
  <si>
    <t>6
س</t>
  </si>
  <si>
    <t>7
چ</t>
  </si>
  <si>
    <t>10
ش</t>
  </si>
  <si>
    <t>11
ی</t>
  </si>
  <si>
    <t>12
د</t>
  </si>
  <si>
    <t>13
س</t>
  </si>
  <si>
    <t>14
چ</t>
  </si>
  <si>
    <t>17
ش</t>
  </si>
  <si>
    <t>18
ی</t>
  </si>
  <si>
    <t>19
د</t>
  </si>
  <si>
    <t>20
س</t>
  </si>
  <si>
    <t>21
چ</t>
  </si>
  <si>
    <t>24
ش</t>
  </si>
  <si>
    <t>25
ی</t>
  </si>
  <si>
    <t>26
د</t>
  </si>
  <si>
    <t>27
س</t>
  </si>
  <si>
    <t>28
چ</t>
  </si>
  <si>
    <t>31
ش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</si>
  <si>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</si>
  <si>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</si>
  <si>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</si>
  <si>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</si>
  <si>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</si>
  <si>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</si>
  <si>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</si>
  <si>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</si>
  <si>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1
ی</t>
  </si>
  <si>
    <t>2
د</t>
  </si>
  <si>
    <t>3
س</t>
  </si>
  <si>
    <t>4
چ</t>
  </si>
  <si>
    <t>7
ش</t>
  </si>
  <si>
    <t>8
ی</t>
  </si>
  <si>
    <t>9
د</t>
  </si>
  <si>
    <t>10
س</t>
  </si>
  <si>
    <t>11
چ</t>
  </si>
  <si>
    <t>14
ش</t>
  </si>
  <si>
    <t>15
ی</t>
  </si>
  <si>
    <t>16
د</t>
  </si>
  <si>
    <t>17
س</t>
  </si>
  <si>
    <t>18
چ</t>
  </si>
  <si>
    <t>21
ش</t>
  </si>
  <si>
    <t>22
ی</t>
  </si>
  <si>
    <t>23
د</t>
  </si>
  <si>
    <t>24
س</t>
  </si>
  <si>
    <t>25
چ</t>
  </si>
  <si>
    <t>28
ش</t>
  </si>
  <si>
    <t>29
ی</t>
  </si>
  <si>
    <t>30
د</t>
  </si>
  <si>
    <t>31
س</t>
  </si>
  <si>
    <t>1
چ</t>
  </si>
  <si>
    <t>4
ش</t>
  </si>
  <si>
    <t>5
ی</t>
  </si>
  <si>
    <t>6
د</t>
  </si>
  <si>
    <t>7
س</t>
  </si>
  <si>
    <t>8
چ</t>
  </si>
  <si>
    <t>11
ش</t>
  </si>
  <si>
    <t>12
ی</t>
  </si>
  <si>
    <t>13
د</t>
  </si>
  <si>
    <t>14
س</t>
  </si>
  <si>
    <t>15
چ</t>
  </si>
  <si>
    <t>18
ش</t>
  </si>
  <si>
    <t>19
ی</t>
  </si>
  <si>
    <t>20
د</t>
  </si>
  <si>
    <t>21
س</t>
  </si>
  <si>
    <t>22
چ</t>
  </si>
  <si>
    <t>25
ش</t>
  </si>
  <si>
    <t>26
ی</t>
  </si>
  <si>
    <t>27
د</t>
  </si>
  <si>
    <t>28
س</t>
  </si>
  <si>
    <t>29
چ</t>
  </si>
  <si>
    <t>2
ش</t>
  </si>
  <si>
    <t>3
ی</t>
  </si>
  <si>
    <t>4
د</t>
  </si>
  <si>
    <t>5
س</t>
  </si>
  <si>
    <t>6
چ</t>
  </si>
  <si>
    <t>9
ش</t>
  </si>
  <si>
    <t>10
ی</t>
  </si>
  <si>
    <t>11
د</t>
  </si>
  <si>
    <t>12
س</t>
  </si>
  <si>
    <t>13
چ</t>
  </si>
  <si>
    <t>16
ش</t>
  </si>
  <si>
    <t>17
ی</t>
  </si>
  <si>
    <t>18
د</t>
  </si>
  <si>
    <t>19
س</t>
  </si>
  <si>
    <t>20
چ</t>
  </si>
  <si>
    <t>23
ش</t>
  </si>
  <si>
    <t>24
ی</t>
  </si>
  <si>
    <t>25
د</t>
  </si>
  <si>
    <t>26
س</t>
  </si>
  <si>
    <t>27
چ</t>
  </si>
  <si>
    <t>30
ش</t>
  </si>
  <si>
    <t>1
س</t>
  </si>
  <si>
    <t>2
چ</t>
  </si>
  <si>
    <t>5
ش</t>
  </si>
  <si>
    <t>6
ی</t>
  </si>
  <si>
    <t>7
د</t>
  </si>
  <si>
    <t>8
س</t>
  </si>
  <si>
    <t>9
چ</t>
  </si>
  <si>
    <t>12
ش</t>
  </si>
  <si>
    <t>13
ی</t>
  </si>
  <si>
    <t>14
د</t>
  </si>
  <si>
    <t>15
س</t>
  </si>
  <si>
    <t>16
چ</t>
  </si>
  <si>
    <t>19
ش</t>
  </si>
  <si>
    <t>20
ی</t>
  </si>
  <si>
    <t>21
د</t>
  </si>
  <si>
    <t>22
س</t>
  </si>
  <si>
    <t>23
چ</t>
  </si>
  <si>
    <t>26
ش</t>
  </si>
  <si>
    <t>27
ی</t>
  </si>
  <si>
    <t>28
د</t>
  </si>
  <si>
    <t>29
س</t>
  </si>
  <si>
    <t>30
چ</t>
  </si>
  <si>
    <t>1
ش</t>
  </si>
  <si>
    <t>2
ی</t>
  </si>
  <si>
    <t>3
د</t>
  </si>
  <si>
    <t>4
س</t>
  </si>
  <si>
    <t>5
چ</t>
  </si>
  <si>
    <t>8
ش</t>
  </si>
  <si>
    <t>9
ی</t>
  </si>
  <si>
    <t>10
د</t>
  </si>
  <si>
    <t>11
س</t>
  </si>
  <si>
    <t>12
چ</t>
  </si>
  <si>
    <t>15
ش</t>
  </si>
  <si>
    <t>16
ی</t>
  </si>
  <si>
    <t>17
د</t>
  </si>
  <si>
    <t>18
س</t>
  </si>
  <si>
    <t>19
چ</t>
  </si>
  <si>
    <t>22
ش</t>
  </si>
  <si>
    <t>23
ی</t>
  </si>
  <si>
    <t>24
د</t>
  </si>
  <si>
    <t>25
س</t>
  </si>
  <si>
    <t>26
چ</t>
  </si>
  <si>
    <t>29
ش</t>
  </si>
  <si>
    <t>تیر</t>
  </si>
  <si>
    <t>خرداد</t>
  </si>
  <si>
    <t>31
ی</t>
  </si>
  <si>
    <t>1
د</t>
  </si>
  <si>
    <t>2
س</t>
  </si>
  <si>
    <t>6
ش</t>
  </si>
  <si>
    <t>7
ی</t>
  </si>
  <si>
    <t>27
ش</t>
  </si>
  <si>
    <t>28
ی</t>
  </si>
  <si>
    <t>3
چ</t>
  </si>
  <si>
    <t>8
د</t>
  </si>
  <si>
    <t>9
س</t>
  </si>
  <si>
    <t>10
چ</t>
  </si>
  <si>
    <t>13
ش</t>
  </si>
  <si>
    <t>14
ی</t>
  </si>
  <si>
    <t>15
د</t>
  </si>
  <si>
    <t>16
س</t>
  </si>
  <si>
    <t>17
چ</t>
  </si>
  <si>
    <t>20
ش</t>
  </si>
  <si>
    <t>21
ی</t>
  </si>
  <si>
    <t>22
د</t>
  </si>
  <si>
    <t>23
س</t>
  </si>
  <si>
    <t>24
چ</t>
  </si>
  <si>
    <t>29
د</t>
  </si>
  <si>
    <t>30
س</t>
  </si>
  <si>
    <t>31
چ</t>
  </si>
  <si>
    <t xml:space="preserve"> خرداد30
ش</t>
  </si>
  <si>
    <t>30 خرداد</t>
  </si>
  <si>
    <t>1تیر</t>
  </si>
  <si>
    <t>2 تیر</t>
  </si>
  <si>
    <t>7 تیر</t>
  </si>
  <si>
    <t>8 تیر</t>
  </si>
  <si>
    <t>9 تیر</t>
  </si>
  <si>
    <t>10 تیر</t>
  </si>
  <si>
    <t>17 تیر</t>
  </si>
  <si>
    <t>21 تیر</t>
  </si>
  <si>
    <t>22 تیر</t>
  </si>
  <si>
    <t>23 تیر</t>
  </si>
  <si>
    <t>24 تیر</t>
  </si>
  <si>
    <t>27 تیر</t>
  </si>
  <si>
    <t>28 تیر</t>
  </si>
  <si>
    <t>29 تیر</t>
  </si>
  <si>
    <t>30 تیر</t>
  </si>
  <si>
    <t>31 تیر</t>
  </si>
  <si>
    <t>3 مرداد</t>
  </si>
  <si>
    <t>4 مرداد</t>
  </si>
  <si>
    <t>5 مرداد</t>
  </si>
  <si>
    <t>6 مرداد</t>
  </si>
  <si>
    <t>7 مرداد</t>
  </si>
  <si>
    <t>31 خرداد</t>
  </si>
  <si>
    <t>6 تیر</t>
  </si>
  <si>
    <t>کلاس یوگای خانه سرای  پونک</t>
  </si>
  <si>
    <t>تاریخ فیش  واریزی</t>
  </si>
  <si>
    <t>تاریخ واریزی بعدی</t>
  </si>
  <si>
    <t>1405/05/04</t>
  </si>
  <si>
    <t>1405/06/04</t>
  </si>
  <si>
    <t>تعداد جلسات باقی مانده</t>
  </si>
  <si>
    <t>1405/05/06</t>
  </si>
  <si>
    <t>خانم سمانه عقاپور</t>
  </si>
  <si>
    <t>تعداد جلساتی که آمدند</t>
  </si>
  <si>
    <t>1405/05/03</t>
  </si>
  <si>
    <t>1405/06/03</t>
  </si>
  <si>
    <t>1405/05/07</t>
  </si>
  <si>
    <t>تاریخ جلسه اول</t>
  </si>
  <si>
    <t>*</t>
  </si>
  <si>
    <t>لطفا  طبق مقررات ثبت نامی سرای محله پونک جنوبی :
- پس از اتمام تعداد جلسات واریزی ، فیش واریزی جدید را ارسال بفرمائید.
- پس از رسیدن به تاریخ واریزی بعدی ، فیش واریزی را ارسال بفرمائید.</t>
  </si>
  <si>
    <t>خانم مریم داداشی</t>
  </si>
  <si>
    <t>27تیر</t>
  </si>
  <si>
    <t>29تیر</t>
  </si>
  <si>
    <t>صونا نوری</t>
  </si>
  <si>
    <t>پرسیا ذبده</t>
  </si>
  <si>
    <t>1405/05/05</t>
  </si>
  <si>
    <t>1405/04/29</t>
  </si>
  <si>
    <t>1405/04/27</t>
  </si>
  <si>
    <t>1405/04/30</t>
  </si>
  <si>
    <t>1405/04/09</t>
  </si>
  <si>
    <t>1405/04/21</t>
  </si>
  <si>
    <t>1405/04/28</t>
  </si>
  <si>
    <t>20تیر</t>
  </si>
  <si>
    <r>
      <rPr>
        <sz val="12"/>
        <color rgb="FFFF0000"/>
        <rFont val="B Titr"/>
        <charset val="178"/>
      </rPr>
      <t>کلاس یوگای  سرای  پونک</t>
    </r>
    <r>
      <rPr>
        <sz val="12"/>
        <color rgb="FF0070C0"/>
        <rFont val="B Titr"/>
        <charset val="178"/>
      </rPr>
      <t xml:space="preserve">
- لطفا  طبق مقررات  پس از اتمام  جلسات ، فیش  جدید را ارسال بفرمائید.</t>
    </r>
  </si>
  <si>
    <t>کتایون بابایی</t>
  </si>
  <si>
    <t xml:space="preserve"> 8 تیر</t>
  </si>
  <si>
    <t>20 تیر</t>
  </si>
  <si>
    <t>21تیر</t>
  </si>
  <si>
    <t xml:space="preserve">فیش  </t>
  </si>
  <si>
    <t>جلسات  مانده</t>
  </si>
  <si>
    <t>جلسات محاسبه شده</t>
  </si>
  <si>
    <t>الهه قهرمانی</t>
  </si>
  <si>
    <t>1405/05/10</t>
  </si>
  <si>
    <t>10مرداد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</si>
</sst>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B Koodak"/>
      <charset val="178"/>
    </font>
    <font>
      <sz val="12"/>
      <color theme="1"/>
      <name val="B Koodak"/>
      <charset val="178"/>
    </font>
    <font>
      <sz val="11"/>
      <name val="B Koodak"/>
      <charset val="178"/>
    </font>
    <font>
      <b/>
      <sz val="11"/>
      <name val="B Koodak"/>
      <charset val="178"/>
    </font>
    <font>
      <b/>
      <sz val="11"/>
      <color rgb="FFFFFFFF"/>
      <name val="B Koodak"/>
      <charset val="178"/>
    </font>
    <font>
      <sz val="12"/>
      <color rgb="FF0070C0"/>
      <name val="B Titr"/>
      <charset val="178"/>
    </font>
    <font>
      <sz val="11"/>
      <color theme="1"/>
      <name val="B Titr"/>
      <charset val="178"/>
    </font>
    <font>
      <sz val="14"/>
      <color rgb="FF0070C0"/>
      <name val="B Titr"/>
      <charset val="178"/>
    </font>
    <font>
      <sz val="14"/>
      <color rgb="FF002060"/>
      <name val="B Koodak"/>
      <charset val="178"/>
    </font>
    <font>
      <sz val="12"/>
      <color rgb="FFFF0000"/>
      <name val="B Titr"/>
      <charset val="178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theme="1"/>
      </right>
      <top/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/>
      <diagonal/>
    </border>
    <border>
      <left style="hair">
        <color theme="1"/>
      </left>
      <right style="hair">
        <color theme="1"/>
      </right>
      <top style="medium">
        <color theme="1"/>
      </top>
      <bottom/>
      <diagonal/>
    </border>
    <border>
      <left style="hair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medium">
        <color theme="1"/>
      </bottom>
      <diagonal/>
    </border>
    <border>
      <left style="hair">
        <color theme="1"/>
      </left>
      <right/>
      <top style="medium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6" xfId="0" applyFont="1" applyFill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vertical="center" wrapText="1" shrinkToFit="1"/>
    </xf>
    <xf numFmtId="0" fontId="4" fillId="3" borderId="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 readingOrder="2"/>
    </xf>
    <xf numFmtId="0" fontId="3" fillId="6" borderId="5" xfId="0" applyFont="1" applyFill="1" applyBorder="1" applyAlignment="1">
      <alignment horizontal="center" vertical="center" readingOrder="2"/>
    </xf>
    <xf numFmtId="0" fontId="3" fillId="6" borderId="6" xfId="0" applyFont="1" applyFill="1" applyBorder="1" applyAlignment="1">
      <alignment horizontal="center" vertical="center" readingOrder="2"/>
    </xf>
    <xf numFmtId="0" fontId="3" fillId="6" borderId="1" xfId="0" applyFont="1" applyFill="1" applyBorder="1" applyAlignment="1">
      <alignment horizontal="center" vertical="center" readingOrder="2"/>
    </xf>
    <xf numFmtId="0" fontId="3" fillId="6" borderId="2" xfId="0" applyFont="1" applyFill="1" applyBorder="1" applyAlignment="1">
      <alignment horizontal="center" vertical="center" readingOrder="2"/>
    </xf>
    <xf numFmtId="0" fontId="3" fillId="7" borderId="4" xfId="0" applyFont="1" applyFill="1" applyBorder="1" applyAlignment="1">
      <alignment horizontal="center" vertical="center" readingOrder="2"/>
    </xf>
    <xf numFmtId="0" fontId="3" fillId="7" borderId="2" xfId="0" applyFont="1" applyFill="1" applyBorder="1" applyAlignment="1">
      <alignment horizontal="center" vertical="center" readingOrder="2"/>
    </xf>
    <xf numFmtId="0" fontId="3" fillId="7" borderId="5" xfId="0" applyFont="1" applyFill="1" applyBorder="1" applyAlignment="1">
      <alignment horizontal="center" vertical="center" readingOrder="2"/>
    </xf>
    <xf numFmtId="0" fontId="3" fillId="7" borderId="6" xfId="0" applyFont="1" applyFill="1" applyBorder="1" applyAlignment="1">
      <alignment horizontal="center" vertical="center" readingOrder="2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 wrapText="1" shrinkToFit="1"/>
    </xf>
    <xf numFmtId="0" fontId="8" fillId="0" borderId="0" xfId="0" applyFont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 readingOrder="2"/>
    </xf>
    <xf numFmtId="0" fontId="3" fillId="8" borderId="6" xfId="0" applyFont="1" applyFill="1" applyBorder="1" applyAlignment="1">
      <alignment horizontal="center" vertical="center" readingOrder="2"/>
    </xf>
    <xf numFmtId="0" fontId="3" fillId="8" borderId="5" xfId="0" applyFont="1" applyFill="1" applyBorder="1" applyAlignment="1">
      <alignment horizontal="center" vertical="center" readingOrder="2"/>
    </xf>
    <xf numFmtId="0" fontId="3" fillId="8" borderId="6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5" fillId="4" borderId="20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5" fillId="4" borderId="2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O58"/>
  <sheetViews>
    <sheetView rightToLeft="1" tabSelected="1" topLeftCell="A3" zoomScale="55" zoomScaleNormal="55" workbookViewId="0">
      <selection activeCell="BP28" sqref="BP28"/>
    </sheetView>
  </sheetViews>
  <sheetFormatPr defaultRowHeight="22.5" x14ac:dyDescent="0.6"/>
  <cols>
    <col min="1" max="1" width="6" style="3" customWidth="1"/>
    <col min="2" max="2" width="13.5703125" style="3" customWidth="1"/>
    <col min="3" max="3" width="7.28515625" style="3" customWidth="1"/>
    <col min="4" max="4" width="16.140625" style="3" customWidth="1"/>
    <col min="5" max="5" width="7.28515625" style="3" customWidth="1"/>
    <col min="6" max="6" width="6.5703125" style="3" customWidth="1"/>
    <col min="7" max="7" width="6.42578125" style="3" customWidth="1"/>
    <col min="8" max="27" width="3.140625" style="3" hidden="1" customWidth="1"/>
    <col min="28" max="28" width="7.7109375" style="3" hidden="1" customWidth="1"/>
    <col min="29" max="29" width="8.85546875" style="3" hidden="1" customWidth="1"/>
    <col min="30" max="42" width="7.7109375" style="3" hidden="1" customWidth="1"/>
    <col min="43" max="73" width="7.7109375" style="3" customWidth="1"/>
    <col min="74" max="223" width="3.7109375" style="1" hidden="1" customWidth="1"/>
    <col min="224" max="16384" width="9.140625" style="3"/>
  </cols>
  <sheetData>
    <row r="1" spans="1:223" ht="39.75" customHeight="1" thickBot="1" x14ac:dyDescent="0.3">
      <c r="A1" s="77" t="s">
        <v>255</v>
      </c>
      <c r="B1" s="78"/>
      <c r="C1" s="78"/>
      <c r="D1" s="78"/>
      <c r="E1" s="78"/>
      <c r="F1" s="78"/>
      <c r="G1" s="78"/>
      <c r="H1" s="74" t="s">
        <v>177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92" t="s">
        <v>176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4"/>
      <c r="BA1" s="74" t="s">
        <v>60</v>
      </c>
      <c r="BB1" s="75"/>
      <c r="BC1" s="75"/>
      <c r="BD1" s="75"/>
      <c r="BE1" s="79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1"/>
      <c r="BV1" s="71" t="s">
        <v>61</v>
      </c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3"/>
      <c r="CS1" s="71" t="s">
        <v>62</v>
      </c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3"/>
      <c r="DN1" s="71" t="s">
        <v>63</v>
      </c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3"/>
      <c r="EI1" s="71" t="s">
        <v>64</v>
      </c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72"/>
      <c r="FA1" s="72"/>
      <c r="FB1" s="72"/>
      <c r="FC1" s="72"/>
      <c r="FD1" s="73"/>
      <c r="FE1" s="71" t="s">
        <v>65</v>
      </c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3"/>
      <c r="GA1" s="71" t="s">
        <v>66</v>
      </c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3"/>
      <c r="GU1" s="71" t="s">
        <v>67</v>
      </c>
      <c r="GV1" s="72"/>
      <c r="GW1" s="72"/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3"/>
    </row>
    <row r="2" spans="1:223" ht="84.75" customHeight="1" thickBot="1" x14ac:dyDescent="0.3">
      <c r="A2" s="22" t="s">
        <v>0</v>
      </c>
      <c r="B2" s="23" t="s">
        <v>1</v>
      </c>
      <c r="C2" s="23" t="s">
        <v>260</v>
      </c>
      <c r="D2" s="23" t="s">
        <v>239</v>
      </c>
      <c r="E2" s="23" t="s">
        <v>35</v>
      </c>
      <c r="F2" s="23" t="s">
        <v>262</v>
      </c>
      <c r="G2" s="23" t="s">
        <v>261</v>
      </c>
      <c r="H2" s="22" t="s">
        <v>112</v>
      </c>
      <c r="I2" s="23" t="s">
        <v>113</v>
      </c>
      <c r="J2" s="23" t="s">
        <v>114</v>
      </c>
      <c r="K2" s="23" t="s">
        <v>115</v>
      </c>
      <c r="L2" s="23" t="s">
        <v>116</v>
      </c>
      <c r="M2" s="23" t="s">
        <v>117</v>
      </c>
      <c r="N2" s="23" t="s">
        <v>118</v>
      </c>
      <c r="O2" s="23" t="s">
        <v>119</v>
      </c>
      <c r="P2" s="23" t="s">
        <v>120</v>
      </c>
      <c r="Q2" s="23" t="s">
        <v>121</v>
      </c>
      <c r="R2" s="23" t="s">
        <v>122</v>
      </c>
      <c r="S2" s="23" t="s">
        <v>123</v>
      </c>
      <c r="T2" s="23" t="s">
        <v>124</v>
      </c>
      <c r="U2" s="23" t="s">
        <v>125</v>
      </c>
      <c r="V2" s="23" t="s">
        <v>126</v>
      </c>
      <c r="W2" s="23" t="s">
        <v>127</v>
      </c>
      <c r="X2" s="23" t="s">
        <v>128</v>
      </c>
      <c r="Y2" s="23" t="s">
        <v>129</v>
      </c>
      <c r="Z2" s="23" t="s">
        <v>130</v>
      </c>
      <c r="AA2" s="24" t="s">
        <v>131</v>
      </c>
      <c r="AB2" s="22" t="s">
        <v>202</v>
      </c>
      <c r="AC2" s="25" t="s">
        <v>178</v>
      </c>
      <c r="AD2" s="22" t="s">
        <v>179</v>
      </c>
      <c r="AE2" s="23" t="s">
        <v>180</v>
      </c>
      <c r="AF2" s="23" t="s">
        <v>185</v>
      </c>
      <c r="AG2" s="23" t="s">
        <v>181</v>
      </c>
      <c r="AH2" s="23" t="s">
        <v>182</v>
      </c>
      <c r="AI2" s="23" t="s">
        <v>186</v>
      </c>
      <c r="AJ2" s="23" t="s">
        <v>187</v>
      </c>
      <c r="AK2" s="23" t="s">
        <v>188</v>
      </c>
      <c r="AL2" s="23" t="s">
        <v>189</v>
      </c>
      <c r="AM2" s="23" t="s">
        <v>190</v>
      </c>
      <c r="AN2" s="23" t="s">
        <v>191</v>
      </c>
      <c r="AO2" s="23" t="s">
        <v>192</v>
      </c>
      <c r="AP2" s="23" t="s">
        <v>193</v>
      </c>
      <c r="AQ2" s="23" t="s">
        <v>194</v>
      </c>
      <c r="AR2" s="23" t="s">
        <v>195</v>
      </c>
      <c r="AS2" s="23" t="s">
        <v>196</v>
      </c>
      <c r="AT2" s="23" t="s">
        <v>197</v>
      </c>
      <c r="AU2" s="23" t="s">
        <v>198</v>
      </c>
      <c r="AV2" s="23" t="s">
        <v>183</v>
      </c>
      <c r="AW2" s="23" t="s">
        <v>184</v>
      </c>
      <c r="AX2" s="23" t="s">
        <v>199</v>
      </c>
      <c r="AY2" s="23" t="s">
        <v>200</v>
      </c>
      <c r="AZ2" s="25" t="s">
        <v>201</v>
      </c>
      <c r="BA2" s="22" t="s">
        <v>39</v>
      </c>
      <c r="BB2" s="23" t="s">
        <v>40</v>
      </c>
      <c r="BC2" s="23" t="s">
        <v>41</v>
      </c>
      <c r="BD2" s="23" t="s">
        <v>42</v>
      </c>
      <c r="BE2" s="23" t="s">
        <v>43</v>
      </c>
      <c r="BF2" s="23" t="s">
        <v>44</v>
      </c>
      <c r="BG2" s="23" t="s">
        <v>45</v>
      </c>
      <c r="BH2" s="23" t="s">
        <v>46</v>
      </c>
      <c r="BI2" s="23" t="s">
        <v>47</v>
      </c>
      <c r="BJ2" s="23" t="s">
        <v>48</v>
      </c>
      <c r="BK2" s="23" t="s">
        <v>49</v>
      </c>
      <c r="BL2" s="23" t="s">
        <v>50</v>
      </c>
      <c r="BM2" s="23" t="s">
        <v>51</v>
      </c>
      <c r="BN2" s="23" t="s">
        <v>52</v>
      </c>
      <c r="BO2" s="23" t="s">
        <v>53</v>
      </c>
      <c r="BP2" s="23" t="s">
        <v>54</v>
      </c>
      <c r="BQ2" s="23" t="s">
        <v>55</v>
      </c>
      <c r="BR2" s="23" t="s">
        <v>56</v>
      </c>
      <c r="BS2" s="23" t="s">
        <v>57</v>
      </c>
      <c r="BT2" s="23" t="s">
        <v>58</v>
      </c>
      <c r="BU2" s="25" t="s">
        <v>59</v>
      </c>
      <c r="BV2" s="22" t="s">
        <v>68</v>
      </c>
      <c r="BW2" s="23" t="s">
        <v>69</v>
      </c>
      <c r="BX2" s="23" t="s">
        <v>70</v>
      </c>
      <c r="BY2" s="23" t="s">
        <v>71</v>
      </c>
      <c r="BZ2" s="23" t="s">
        <v>72</v>
      </c>
      <c r="CA2" s="23" t="s">
        <v>73</v>
      </c>
      <c r="CB2" s="23" t="s">
        <v>74</v>
      </c>
      <c r="CC2" s="23" t="s">
        <v>75</v>
      </c>
      <c r="CD2" s="23" t="s">
        <v>76</v>
      </c>
      <c r="CE2" s="23" t="s">
        <v>77</v>
      </c>
      <c r="CF2" s="23" t="s">
        <v>78</v>
      </c>
      <c r="CG2" s="23" t="s">
        <v>79</v>
      </c>
      <c r="CH2" s="23" t="s">
        <v>80</v>
      </c>
      <c r="CI2" s="23" t="s">
        <v>81</v>
      </c>
      <c r="CJ2" s="23" t="s">
        <v>82</v>
      </c>
      <c r="CK2" s="23" t="s">
        <v>83</v>
      </c>
      <c r="CL2" s="23" t="s">
        <v>84</v>
      </c>
      <c r="CM2" s="23" t="s">
        <v>85</v>
      </c>
      <c r="CN2" s="23" t="s">
        <v>86</v>
      </c>
      <c r="CO2" s="23" t="s">
        <v>87</v>
      </c>
      <c r="CP2" s="23" t="s">
        <v>88</v>
      </c>
      <c r="CQ2" s="23" t="s">
        <v>89</v>
      </c>
      <c r="CR2" s="25" t="s">
        <v>90</v>
      </c>
      <c r="CS2" s="22" t="s">
        <v>91</v>
      </c>
      <c r="CT2" s="23" t="s">
        <v>92</v>
      </c>
      <c r="CU2" s="23" t="s">
        <v>93</v>
      </c>
      <c r="CV2" s="23" t="s">
        <v>94</v>
      </c>
      <c r="CW2" s="23" t="s">
        <v>95</v>
      </c>
      <c r="CX2" s="23" t="s">
        <v>96</v>
      </c>
      <c r="CY2" s="23" t="s">
        <v>97</v>
      </c>
      <c r="CZ2" s="23" t="s">
        <v>98</v>
      </c>
      <c r="DA2" s="23" t="s">
        <v>99</v>
      </c>
      <c r="DB2" s="23" t="s">
        <v>100</v>
      </c>
      <c r="DC2" s="23" t="s">
        <v>101</v>
      </c>
      <c r="DD2" s="23" t="s">
        <v>102</v>
      </c>
      <c r="DE2" s="23" t="s">
        <v>103</v>
      </c>
      <c r="DF2" s="23" t="s">
        <v>104</v>
      </c>
      <c r="DG2" s="23" t="s">
        <v>105</v>
      </c>
      <c r="DH2" s="23" t="s">
        <v>106</v>
      </c>
      <c r="DI2" s="23" t="s">
        <v>107</v>
      </c>
      <c r="DJ2" s="23" t="s">
        <v>108</v>
      </c>
      <c r="DK2" s="23" t="s">
        <v>109</v>
      </c>
      <c r="DL2" s="23" t="s">
        <v>110</v>
      </c>
      <c r="DM2" s="25" t="s">
        <v>111</v>
      </c>
      <c r="DN2" s="22" t="s">
        <v>112</v>
      </c>
      <c r="DO2" s="23" t="s">
        <v>113</v>
      </c>
      <c r="DP2" s="23" t="s">
        <v>114</v>
      </c>
      <c r="DQ2" s="23" t="s">
        <v>115</v>
      </c>
      <c r="DR2" s="23" t="s">
        <v>116</v>
      </c>
      <c r="DS2" s="23" t="s">
        <v>117</v>
      </c>
      <c r="DT2" s="23" t="s">
        <v>118</v>
      </c>
      <c r="DU2" s="23" t="s">
        <v>119</v>
      </c>
      <c r="DV2" s="23" t="s">
        <v>120</v>
      </c>
      <c r="DW2" s="23" t="s">
        <v>121</v>
      </c>
      <c r="DX2" s="23" t="s">
        <v>122</v>
      </c>
      <c r="DY2" s="23" t="s">
        <v>123</v>
      </c>
      <c r="DZ2" s="23" t="s">
        <v>124</v>
      </c>
      <c r="EA2" s="23" t="s">
        <v>125</v>
      </c>
      <c r="EB2" s="23" t="s">
        <v>126</v>
      </c>
      <c r="EC2" s="23" t="s">
        <v>127</v>
      </c>
      <c r="ED2" s="23" t="s">
        <v>128</v>
      </c>
      <c r="EE2" s="23" t="s">
        <v>129</v>
      </c>
      <c r="EF2" s="23" t="s">
        <v>130</v>
      </c>
      <c r="EG2" s="23" t="s">
        <v>131</v>
      </c>
      <c r="EH2" s="25" t="s">
        <v>132</v>
      </c>
      <c r="EI2" s="22" t="s">
        <v>68</v>
      </c>
      <c r="EJ2" s="23" t="s">
        <v>69</v>
      </c>
      <c r="EK2" s="23" t="s">
        <v>70</v>
      </c>
      <c r="EL2" s="23" t="s">
        <v>71</v>
      </c>
      <c r="EM2" s="23" t="s">
        <v>72</v>
      </c>
      <c r="EN2" s="23" t="s">
        <v>73</v>
      </c>
      <c r="EO2" s="23" t="s">
        <v>74</v>
      </c>
      <c r="EP2" s="23" t="s">
        <v>75</v>
      </c>
      <c r="EQ2" s="23" t="s">
        <v>76</v>
      </c>
      <c r="ER2" s="23" t="s">
        <v>77</v>
      </c>
      <c r="ES2" s="23" t="s">
        <v>78</v>
      </c>
      <c r="ET2" s="23" t="s">
        <v>79</v>
      </c>
      <c r="EU2" s="23" t="s">
        <v>80</v>
      </c>
      <c r="EV2" s="23" t="s">
        <v>81</v>
      </c>
      <c r="EW2" s="23" t="s">
        <v>82</v>
      </c>
      <c r="EX2" s="23" t="s">
        <v>83</v>
      </c>
      <c r="EY2" s="23" t="s">
        <v>84</v>
      </c>
      <c r="EZ2" s="23" t="s">
        <v>85</v>
      </c>
      <c r="FA2" s="23" t="s">
        <v>86</v>
      </c>
      <c r="FB2" s="23" t="s">
        <v>87</v>
      </c>
      <c r="FC2" s="23" t="s">
        <v>88</v>
      </c>
      <c r="FD2" s="25" t="s">
        <v>89</v>
      </c>
      <c r="FE2" s="22" t="s">
        <v>133</v>
      </c>
      <c r="FF2" s="23" t="s">
        <v>134</v>
      </c>
      <c r="FG2" s="23" t="s">
        <v>135</v>
      </c>
      <c r="FH2" s="23" t="s">
        <v>136</v>
      </c>
      <c r="FI2" s="23" t="s">
        <v>137</v>
      </c>
      <c r="FJ2" s="23" t="s">
        <v>138</v>
      </c>
      <c r="FK2" s="23" t="s">
        <v>139</v>
      </c>
      <c r="FL2" s="23" t="s">
        <v>140</v>
      </c>
      <c r="FM2" s="23" t="s">
        <v>141</v>
      </c>
      <c r="FN2" s="23" t="s">
        <v>142</v>
      </c>
      <c r="FO2" s="23" t="s">
        <v>143</v>
      </c>
      <c r="FP2" s="23" t="s">
        <v>144</v>
      </c>
      <c r="FQ2" s="23" t="s">
        <v>145</v>
      </c>
      <c r="FR2" s="23" t="s">
        <v>146</v>
      </c>
      <c r="FS2" s="23" t="s">
        <v>147</v>
      </c>
      <c r="FT2" s="23" t="s">
        <v>148</v>
      </c>
      <c r="FU2" s="23" t="s">
        <v>149</v>
      </c>
      <c r="FV2" s="23" t="s">
        <v>150</v>
      </c>
      <c r="FW2" s="23" t="s">
        <v>151</v>
      </c>
      <c r="FX2" s="23" t="s">
        <v>152</v>
      </c>
      <c r="FY2" s="23" t="s">
        <v>153</v>
      </c>
      <c r="FZ2" s="25" t="s">
        <v>154</v>
      </c>
      <c r="GA2" s="22" t="s">
        <v>39</v>
      </c>
      <c r="GB2" s="23" t="s">
        <v>40</v>
      </c>
      <c r="GC2" s="23" t="s">
        <v>41</v>
      </c>
      <c r="GD2" s="23" t="s">
        <v>42</v>
      </c>
      <c r="GE2" s="23" t="s">
        <v>43</v>
      </c>
      <c r="GF2" s="23" t="s">
        <v>44</v>
      </c>
      <c r="GG2" s="23" t="s">
        <v>45</v>
      </c>
      <c r="GH2" s="23" t="s">
        <v>46</v>
      </c>
      <c r="GI2" s="23" t="s">
        <v>47</v>
      </c>
      <c r="GJ2" s="23" t="s">
        <v>48</v>
      </c>
      <c r="GK2" s="23" t="s">
        <v>49</v>
      </c>
      <c r="GL2" s="23" t="s">
        <v>50</v>
      </c>
      <c r="GM2" s="23" t="s">
        <v>51</v>
      </c>
      <c r="GN2" s="23" t="s">
        <v>52</v>
      </c>
      <c r="GO2" s="23" t="s">
        <v>53</v>
      </c>
      <c r="GP2" s="23" t="s">
        <v>54</v>
      </c>
      <c r="GQ2" s="23" t="s">
        <v>55</v>
      </c>
      <c r="GR2" s="23" t="s">
        <v>56</v>
      </c>
      <c r="GS2" s="23" t="s">
        <v>57</v>
      </c>
      <c r="GT2" s="25" t="s">
        <v>58</v>
      </c>
      <c r="GU2" s="22" t="s">
        <v>155</v>
      </c>
      <c r="GV2" s="23" t="s">
        <v>156</v>
      </c>
      <c r="GW2" s="23" t="s">
        <v>157</v>
      </c>
      <c r="GX2" s="23" t="s">
        <v>158</v>
      </c>
      <c r="GY2" s="23" t="s">
        <v>159</v>
      </c>
      <c r="GZ2" s="23" t="s">
        <v>160</v>
      </c>
      <c r="HA2" s="23" t="s">
        <v>161</v>
      </c>
      <c r="HB2" s="23" t="s">
        <v>162</v>
      </c>
      <c r="HC2" s="23" t="s">
        <v>163</v>
      </c>
      <c r="HD2" s="23" t="s">
        <v>164</v>
      </c>
      <c r="HE2" s="23" t="s">
        <v>165</v>
      </c>
      <c r="HF2" s="23" t="s">
        <v>166</v>
      </c>
      <c r="HG2" s="23" t="s">
        <v>167</v>
      </c>
      <c r="HH2" s="23" t="s">
        <v>168</v>
      </c>
      <c r="HI2" s="23" t="s">
        <v>169</v>
      </c>
      <c r="HJ2" s="23" t="s">
        <v>170</v>
      </c>
      <c r="HK2" s="23" t="s">
        <v>171</v>
      </c>
      <c r="HL2" s="23" t="s">
        <v>172</v>
      </c>
      <c r="HM2" s="23" t="s">
        <v>173</v>
      </c>
      <c r="HN2" s="23" t="s">
        <v>174</v>
      </c>
      <c r="HO2" s="25" t="s">
        <v>175</v>
      </c>
    </row>
    <row r="3" spans="1:223" x14ac:dyDescent="0.25">
      <c r="A3" s="19">
        <v>1</v>
      </c>
      <c r="B3" s="20" t="s">
        <v>2</v>
      </c>
      <c r="C3" s="20" t="s">
        <v>37</v>
      </c>
      <c r="D3" s="20" t="s">
        <v>230</v>
      </c>
      <c r="E3" s="20">
        <v>0</v>
      </c>
      <c r="F3" s="20">
        <v>2</v>
      </c>
      <c r="G3" s="20">
        <f>E3-F3</f>
        <v>-2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27"/>
      <c r="AB3" s="29"/>
      <c r="AC3" s="30" t="s">
        <v>225</v>
      </c>
      <c r="AD3" s="65"/>
      <c r="AE3" s="66"/>
      <c r="AF3" s="66"/>
      <c r="AG3" s="66"/>
      <c r="AH3" s="66" t="s">
        <v>206</v>
      </c>
      <c r="AI3" s="66"/>
      <c r="AJ3" s="66" t="s">
        <v>208</v>
      </c>
      <c r="AK3" s="66"/>
      <c r="AL3" s="66"/>
      <c r="AM3" s="66"/>
      <c r="AN3" s="66"/>
      <c r="AO3" s="66"/>
      <c r="AP3" s="66"/>
      <c r="AQ3" s="66" t="s">
        <v>258</v>
      </c>
      <c r="AR3" s="66" t="s">
        <v>259</v>
      </c>
      <c r="AS3" s="66"/>
      <c r="AT3" s="66" t="s">
        <v>213</v>
      </c>
      <c r="AU3" s="66"/>
      <c r="AV3" s="66"/>
      <c r="AW3" s="66" t="s">
        <v>216</v>
      </c>
      <c r="AX3" s="66"/>
      <c r="AY3" s="66" t="s">
        <v>218</v>
      </c>
      <c r="AZ3" s="30"/>
      <c r="BA3" s="29"/>
      <c r="BB3" s="31" t="s">
        <v>221</v>
      </c>
      <c r="BC3" s="31"/>
      <c r="BD3" s="31" t="s">
        <v>223</v>
      </c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0"/>
      <c r="BV3" s="4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6"/>
      <c r="CS3" s="4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6"/>
      <c r="DN3" s="4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6"/>
      <c r="EI3" s="4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6"/>
      <c r="FE3" s="4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6"/>
      <c r="GA3" s="4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6"/>
      <c r="GU3" s="4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6"/>
    </row>
    <row r="4" spans="1:223" x14ac:dyDescent="0.25">
      <c r="A4" s="15">
        <v>2</v>
      </c>
      <c r="B4" s="8" t="s">
        <v>3</v>
      </c>
      <c r="C4" s="8" t="s">
        <v>38</v>
      </c>
      <c r="D4" s="8" t="s">
        <v>236</v>
      </c>
      <c r="E4" s="8">
        <v>12</v>
      </c>
      <c r="F4" s="8">
        <v>4</v>
      </c>
      <c r="G4" s="8">
        <f t="shared" ref="G4:G34" si="0">E4-F4</f>
        <v>8</v>
      </c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8"/>
      <c r="AB4" s="32"/>
      <c r="AC4" s="33"/>
      <c r="AD4" s="67" t="s">
        <v>204</v>
      </c>
      <c r="AE4" s="68"/>
      <c r="AF4" s="69"/>
      <c r="AG4" s="69" t="s">
        <v>226</v>
      </c>
      <c r="AH4" s="68" t="s">
        <v>206</v>
      </c>
      <c r="AI4" s="69"/>
      <c r="AJ4" s="69"/>
      <c r="AK4" s="69" t="s">
        <v>209</v>
      </c>
      <c r="AL4" s="69"/>
      <c r="AM4" s="69"/>
      <c r="AN4" s="69"/>
      <c r="AO4" s="69"/>
      <c r="AP4" s="69" t="s">
        <v>210</v>
      </c>
      <c r="AQ4" s="68" t="s">
        <v>258</v>
      </c>
      <c r="AR4" s="68" t="s">
        <v>259</v>
      </c>
      <c r="AS4" s="69"/>
      <c r="AT4" s="69"/>
      <c r="AU4" s="69" t="s">
        <v>214</v>
      </c>
      <c r="AV4" s="69" t="s">
        <v>215</v>
      </c>
      <c r="AW4" s="68" t="s">
        <v>216</v>
      </c>
      <c r="AX4" s="69"/>
      <c r="AY4" s="69"/>
      <c r="AZ4" s="70" t="s">
        <v>219</v>
      </c>
      <c r="BA4" s="32" t="s">
        <v>220</v>
      </c>
      <c r="BB4" s="34" t="s">
        <v>221</v>
      </c>
      <c r="BC4" s="34"/>
      <c r="BD4" s="34"/>
      <c r="BE4" s="34" t="s">
        <v>224</v>
      </c>
      <c r="BF4" s="34" t="s">
        <v>265</v>
      </c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3"/>
      <c r="BV4" s="7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9"/>
      <c r="CS4" s="7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9"/>
      <c r="DN4" s="7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9"/>
      <c r="EI4" s="7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9"/>
      <c r="FE4" s="7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9"/>
      <c r="GA4" s="7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9"/>
      <c r="GU4" s="7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9"/>
    </row>
    <row r="5" spans="1:223" x14ac:dyDescent="0.25">
      <c r="A5" s="13">
        <v>3</v>
      </c>
      <c r="B5" s="14" t="s">
        <v>4</v>
      </c>
      <c r="C5" s="14" t="s">
        <v>38</v>
      </c>
      <c r="D5" s="14" t="s">
        <v>247</v>
      </c>
      <c r="E5" s="14">
        <v>12</v>
      </c>
      <c r="F5" s="14">
        <v>3</v>
      </c>
      <c r="G5" s="14">
        <f t="shared" si="0"/>
        <v>9</v>
      </c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8"/>
      <c r="AB5" s="35"/>
      <c r="AC5" s="36"/>
      <c r="AD5" s="62" t="s">
        <v>204</v>
      </c>
      <c r="AE5" s="63"/>
      <c r="AF5" s="63"/>
      <c r="AG5" s="63" t="s">
        <v>226</v>
      </c>
      <c r="AH5" s="63"/>
      <c r="AI5" s="63" t="s">
        <v>257</v>
      </c>
      <c r="AJ5" s="63"/>
      <c r="AK5" s="63" t="s">
        <v>209</v>
      </c>
      <c r="AL5" s="63"/>
      <c r="AM5" s="63"/>
      <c r="AN5" s="63"/>
      <c r="AO5" s="63"/>
      <c r="AP5" s="63" t="s">
        <v>210</v>
      </c>
      <c r="AQ5" s="63" t="s">
        <v>258</v>
      </c>
      <c r="AR5" s="63"/>
      <c r="AS5" s="63" t="s">
        <v>212</v>
      </c>
      <c r="AT5" s="63"/>
      <c r="AU5" s="63" t="s">
        <v>214</v>
      </c>
      <c r="AV5" s="63" t="s">
        <v>215</v>
      </c>
      <c r="AW5" s="63"/>
      <c r="AX5" s="63" t="s">
        <v>217</v>
      </c>
      <c r="AY5" s="63"/>
      <c r="AZ5" s="64" t="s">
        <v>219</v>
      </c>
      <c r="BA5" s="62" t="s">
        <v>220</v>
      </c>
      <c r="BB5" s="37"/>
      <c r="BC5" s="37" t="s">
        <v>222</v>
      </c>
      <c r="BD5" s="37"/>
      <c r="BE5" s="37" t="s">
        <v>224</v>
      </c>
      <c r="BF5" s="37" t="s">
        <v>265</v>
      </c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6"/>
      <c r="BV5" s="10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2"/>
      <c r="CS5" s="10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2"/>
      <c r="DN5" s="10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2"/>
      <c r="EI5" s="10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2"/>
      <c r="FE5" s="10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2"/>
      <c r="GA5" s="10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2"/>
      <c r="GU5" s="10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2"/>
    </row>
    <row r="6" spans="1:223" x14ac:dyDescent="0.25">
      <c r="A6" s="15">
        <v>4</v>
      </c>
      <c r="B6" s="8" t="s">
        <v>5</v>
      </c>
      <c r="C6" s="8" t="s">
        <v>38</v>
      </c>
      <c r="D6" s="8" t="s">
        <v>248</v>
      </c>
      <c r="E6" s="8">
        <v>12</v>
      </c>
      <c r="F6" s="8">
        <v>5</v>
      </c>
      <c r="G6" s="8">
        <f t="shared" si="0"/>
        <v>7</v>
      </c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8"/>
      <c r="AB6" s="32"/>
      <c r="AC6" s="33"/>
      <c r="AD6" s="32"/>
      <c r="AE6" s="34"/>
      <c r="AF6" s="34"/>
      <c r="AG6" s="69" t="s">
        <v>226</v>
      </c>
      <c r="AH6" s="69"/>
      <c r="AI6" s="69" t="s">
        <v>257</v>
      </c>
      <c r="AJ6" s="69"/>
      <c r="AK6" s="69" t="s">
        <v>209</v>
      </c>
      <c r="AL6" s="69"/>
      <c r="AM6" s="69"/>
      <c r="AN6" s="69"/>
      <c r="AO6" s="69"/>
      <c r="AP6" s="69" t="s">
        <v>210</v>
      </c>
      <c r="AQ6" s="69" t="s">
        <v>258</v>
      </c>
      <c r="AR6" s="69"/>
      <c r="AS6" s="69" t="s">
        <v>212</v>
      </c>
      <c r="AT6" s="69"/>
      <c r="AU6" s="69" t="s">
        <v>214</v>
      </c>
      <c r="AV6" s="69" t="s">
        <v>215</v>
      </c>
      <c r="AW6" s="34"/>
      <c r="AX6" s="34" t="s">
        <v>217</v>
      </c>
      <c r="AY6" s="34"/>
      <c r="AZ6" s="33"/>
      <c r="BA6" s="32" t="s">
        <v>220</v>
      </c>
      <c r="BB6" s="34"/>
      <c r="BC6" s="34" t="s">
        <v>222</v>
      </c>
      <c r="BD6" s="34"/>
      <c r="BE6" s="34" t="s">
        <v>224</v>
      </c>
      <c r="BF6" s="34" t="s">
        <v>265</v>
      </c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3"/>
      <c r="BV6" s="7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9"/>
      <c r="CS6" s="7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9"/>
      <c r="DN6" s="7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9"/>
      <c r="EI6" s="7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9"/>
      <c r="FE6" s="7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9"/>
      <c r="GA6" s="7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9"/>
      <c r="GU6" s="7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9"/>
    </row>
    <row r="7" spans="1:223" x14ac:dyDescent="0.25">
      <c r="A7" s="13">
        <v>5</v>
      </c>
      <c r="B7" s="14" t="s">
        <v>6</v>
      </c>
      <c r="C7" s="14" t="s">
        <v>38</v>
      </c>
      <c r="D7" s="14" t="s">
        <v>230</v>
      </c>
      <c r="E7" s="14">
        <v>8</v>
      </c>
      <c r="F7" s="14">
        <v>2</v>
      </c>
      <c r="G7" s="14">
        <f t="shared" si="0"/>
        <v>6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28"/>
      <c r="AB7" s="35"/>
      <c r="AC7" s="36"/>
      <c r="AD7" s="62"/>
      <c r="AE7" s="66" t="s">
        <v>205</v>
      </c>
      <c r="AF7" s="63"/>
      <c r="AG7" s="63"/>
      <c r="AH7" s="66" t="s">
        <v>206</v>
      </c>
      <c r="AI7" s="63"/>
      <c r="AJ7" s="66" t="s">
        <v>208</v>
      </c>
      <c r="AK7" s="63"/>
      <c r="AL7" s="63"/>
      <c r="AM7" s="63"/>
      <c r="AN7" s="63"/>
      <c r="AO7" s="63"/>
      <c r="AP7" s="63"/>
      <c r="AQ7" s="63"/>
      <c r="AR7" s="66" t="s">
        <v>259</v>
      </c>
      <c r="AS7" s="63"/>
      <c r="AT7" s="66" t="s">
        <v>213</v>
      </c>
      <c r="AU7" s="63"/>
      <c r="AV7" s="63"/>
      <c r="AW7" s="66" t="s">
        <v>216</v>
      </c>
      <c r="AX7" s="63"/>
      <c r="AY7" s="66" t="s">
        <v>218</v>
      </c>
      <c r="AZ7" s="36"/>
      <c r="BA7" s="35"/>
      <c r="BB7" s="37" t="s">
        <v>221</v>
      </c>
      <c r="BC7" s="37"/>
      <c r="BD7" s="37" t="s">
        <v>223</v>
      </c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6"/>
      <c r="BV7" s="10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2"/>
      <c r="CS7" s="10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2"/>
      <c r="DN7" s="10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2"/>
      <c r="EI7" s="10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2"/>
      <c r="FE7" s="10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2"/>
      <c r="GA7" s="10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2"/>
      <c r="GU7" s="10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2"/>
    </row>
    <row r="8" spans="1:223" x14ac:dyDescent="0.25">
      <c r="A8" s="39">
        <v>6</v>
      </c>
      <c r="B8" s="38" t="s">
        <v>7</v>
      </c>
      <c r="C8" s="38" t="s">
        <v>37</v>
      </c>
      <c r="D8" s="38" t="s">
        <v>240</v>
      </c>
      <c r="E8" s="38">
        <v>8</v>
      </c>
      <c r="F8" s="38">
        <v>8</v>
      </c>
      <c r="G8" s="38">
        <f t="shared" si="0"/>
        <v>0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8"/>
      <c r="AB8" s="32"/>
      <c r="AC8" s="33"/>
      <c r="AD8" s="32"/>
      <c r="AE8" s="34"/>
      <c r="AF8" s="34"/>
      <c r="AG8" s="34"/>
      <c r="AH8" s="68" t="s">
        <v>206</v>
      </c>
      <c r="AI8" s="69" t="s">
        <v>257</v>
      </c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8" t="s">
        <v>213</v>
      </c>
      <c r="AU8" s="69" t="s">
        <v>214</v>
      </c>
      <c r="AV8" s="69"/>
      <c r="AW8" s="68" t="s">
        <v>216</v>
      </c>
      <c r="AX8" s="69"/>
      <c r="AY8" s="68" t="s">
        <v>218</v>
      </c>
      <c r="AZ8" s="70"/>
      <c r="BA8" s="67"/>
      <c r="BB8" s="69" t="s">
        <v>221</v>
      </c>
      <c r="BC8" s="69"/>
      <c r="BD8" s="69"/>
      <c r="BE8" s="69" t="s">
        <v>224</v>
      </c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3"/>
      <c r="BV8" s="7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9"/>
      <c r="CS8" s="7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9"/>
      <c r="DN8" s="7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9"/>
      <c r="EI8" s="7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9"/>
      <c r="FE8" s="7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9"/>
      <c r="GA8" s="7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9"/>
      <c r="GU8" s="7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9"/>
    </row>
    <row r="9" spans="1:223" x14ac:dyDescent="0.25">
      <c r="A9" s="13">
        <v>7</v>
      </c>
      <c r="B9" s="14" t="s">
        <v>8</v>
      </c>
      <c r="C9" s="14" t="s">
        <v>38</v>
      </c>
      <c r="D9" s="14" t="s">
        <v>230</v>
      </c>
      <c r="E9" s="14">
        <v>8</v>
      </c>
      <c r="F9" s="14">
        <v>2</v>
      </c>
      <c r="G9" s="14">
        <f t="shared" si="0"/>
        <v>6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28"/>
      <c r="AB9" s="35"/>
      <c r="AC9" s="36"/>
      <c r="AD9" s="62"/>
      <c r="AE9" s="66" t="s">
        <v>205</v>
      </c>
      <c r="AF9" s="66" t="s">
        <v>206</v>
      </c>
      <c r="AG9" s="66"/>
      <c r="AH9" s="66" t="s">
        <v>206</v>
      </c>
      <c r="AI9" s="66"/>
      <c r="AJ9" s="66" t="s">
        <v>208</v>
      </c>
      <c r="AK9" s="63"/>
      <c r="AL9" s="63"/>
      <c r="AM9" s="63"/>
      <c r="AN9" s="63"/>
      <c r="AO9" s="63"/>
      <c r="AP9" s="63"/>
      <c r="AQ9" s="63"/>
      <c r="AR9" s="66" t="s">
        <v>259</v>
      </c>
      <c r="AS9" s="63"/>
      <c r="AT9" s="66" t="s">
        <v>213</v>
      </c>
      <c r="AU9" s="63"/>
      <c r="AV9" s="63"/>
      <c r="AW9" s="66" t="s">
        <v>216</v>
      </c>
      <c r="AX9" s="63"/>
      <c r="AY9" s="66" t="s">
        <v>218</v>
      </c>
      <c r="AZ9" s="36"/>
      <c r="BA9" s="35"/>
      <c r="BB9" s="37" t="s">
        <v>221</v>
      </c>
      <c r="BC9" s="37"/>
      <c r="BD9" s="37" t="s">
        <v>223</v>
      </c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6"/>
      <c r="BV9" s="10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2"/>
      <c r="CS9" s="10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2"/>
      <c r="DN9" s="10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2"/>
      <c r="EI9" s="10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2"/>
      <c r="FE9" s="10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2"/>
      <c r="GA9" s="10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2"/>
      <c r="GU9" s="10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2"/>
    </row>
    <row r="10" spans="1:223" x14ac:dyDescent="0.25">
      <c r="A10" s="15">
        <v>8</v>
      </c>
      <c r="B10" s="8" t="s">
        <v>9</v>
      </c>
      <c r="C10" s="8" t="s">
        <v>38</v>
      </c>
      <c r="D10" s="8" t="s">
        <v>230</v>
      </c>
      <c r="E10" s="8">
        <v>8</v>
      </c>
      <c r="F10" s="8">
        <v>2</v>
      </c>
      <c r="G10" s="8">
        <f t="shared" si="0"/>
        <v>6</v>
      </c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18"/>
      <c r="AB10" s="32"/>
      <c r="AC10" s="33"/>
      <c r="AD10" s="67"/>
      <c r="AE10" s="68" t="s">
        <v>205</v>
      </c>
      <c r="AF10" s="69"/>
      <c r="AG10" s="69"/>
      <c r="AH10" s="68" t="s">
        <v>206</v>
      </c>
      <c r="AI10" s="69"/>
      <c r="AJ10" s="68" t="s">
        <v>208</v>
      </c>
      <c r="AK10" s="69"/>
      <c r="AL10" s="69"/>
      <c r="AM10" s="69"/>
      <c r="AN10" s="69"/>
      <c r="AO10" s="69"/>
      <c r="AP10" s="69"/>
      <c r="AQ10" s="69"/>
      <c r="AR10" s="68" t="s">
        <v>259</v>
      </c>
      <c r="AS10" s="69"/>
      <c r="AT10" s="68" t="s">
        <v>213</v>
      </c>
      <c r="AU10" s="69"/>
      <c r="AV10" s="69"/>
      <c r="AW10" s="68" t="s">
        <v>216</v>
      </c>
      <c r="AX10" s="69"/>
      <c r="AY10" s="68" t="s">
        <v>218</v>
      </c>
      <c r="AZ10" s="33"/>
      <c r="BA10" s="32"/>
      <c r="BB10" s="34" t="s">
        <v>221</v>
      </c>
      <c r="BC10" s="34"/>
      <c r="BD10" s="34" t="s">
        <v>223</v>
      </c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3"/>
      <c r="BV10" s="7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9"/>
      <c r="CS10" s="7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9"/>
      <c r="DN10" s="7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9"/>
      <c r="EI10" s="7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9"/>
      <c r="FE10" s="7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9"/>
      <c r="GA10" s="7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9"/>
      <c r="GU10" s="7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9"/>
    </row>
    <row r="11" spans="1:223" x14ac:dyDescent="0.25">
      <c r="A11" s="41">
        <v>9</v>
      </c>
      <c r="B11" s="26" t="s">
        <v>10</v>
      </c>
      <c r="C11" s="26" t="s">
        <v>37</v>
      </c>
      <c r="D11" s="26" t="s">
        <v>240</v>
      </c>
      <c r="E11" s="26">
        <v>8</v>
      </c>
      <c r="F11" s="26">
        <v>8</v>
      </c>
      <c r="G11" s="26">
        <f t="shared" si="0"/>
        <v>0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28"/>
      <c r="AB11" s="35"/>
      <c r="AC11" s="36"/>
      <c r="AD11" s="35"/>
      <c r="AE11" s="37"/>
      <c r="AF11" s="37"/>
      <c r="AG11" s="37"/>
      <c r="AH11" s="63" t="s">
        <v>206</v>
      </c>
      <c r="AI11" s="63"/>
      <c r="AJ11" s="63" t="s">
        <v>208</v>
      </c>
      <c r="AK11" s="63"/>
      <c r="AL11" s="63"/>
      <c r="AM11" s="63"/>
      <c r="AN11" s="63"/>
      <c r="AO11" s="63"/>
      <c r="AP11" s="63"/>
      <c r="AQ11" s="63"/>
      <c r="AR11" s="63" t="s">
        <v>211</v>
      </c>
      <c r="AS11" s="63"/>
      <c r="AT11" s="63" t="s">
        <v>213</v>
      </c>
      <c r="AU11" s="63"/>
      <c r="AV11" s="63"/>
      <c r="AW11" s="63"/>
      <c r="AX11" s="63"/>
      <c r="AY11" s="63"/>
      <c r="AZ11" s="64"/>
      <c r="BA11" s="62"/>
      <c r="BB11" s="63" t="s">
        <v>221</v>
      </c>
      <c r="BC11" s="63"/>
      <c r="BD11" s="63" t="s">
        <v>223</v>
      </c>
      <c r="BE11" s="63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6"/>
      <c r="BV11" s="10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2"/>
      <c r="CS11" s="10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2"/>
      <c r="DN11" s="10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2"/>
      <c r="EI11" s="10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2"/>
      <c r="FE11" s="10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2"/>
      <c r="GA11" s="10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2"/>
      <c r="GU11" s="10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2"/>
    </row>
    <row r="12" spans="1:223" x14ac:dyDescent="0.25">
      <c r="A12" s="39">
        <v>10</v>
      </c>
      <c r="B12" s="38" t="s">
        <v>11</v>
      </c>
      <c r="C12" s="38" t="s">
        <v>37</v>
      </c>
      <c r="D12" s="38" t="s">
        <v>240</v>
      </c>
      <c r="E12" s="38">
        <v>8</v>
      </c>
      <c r="F12" s="38">
        <v>8</v>
      </c>
      <c r="G12" s="38">
        <f t="shared" si="0"/>
        <v>0</v>
      </c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18"/>
      <c r="AB12" s="32"/>
      <c r="AC12" s="33"/>
      <c r="AD12" s="32"/>
      <c r="AE12" s="34"/>
      <c r="AF12" s="34"/>
      <c r="AG12" s="34"/>
      <c r="AH12" s="69" t="s">
        <v>206</v>
      </c>
      <c r="AI12" s="69"/>
      <c r="AJ12" s="69" t="s">
        <v>208</v>
      </c>
      <c r="AK12" s="69"/>
      <c r="AL12" s="69"/>
      <c r="AM12" s="69"/>
      <c r="AN12" s="69"/>
      <c r="AO12" s="69"/>
      <c r="AP12" s="69"/>
      <c r="AQ12" s="69"/>
      <c r="AR12" s="69" t="s">
        <v>211</v>
      </c>
      <c r="AS12" s="69"/>
      <c r="AT12" s="69" t="s">
        <v>213</v>
      </c>
      <c r="AU12" s="69"/>
      <c r="AV12" s="69"/>
      <c r="AW12" s="69" t="s">
        <v>216</v>
      </c>
      <c r="AX12" s="69"/>
      <c r="AY12" s="69" t="s">
        <v>218</v>
      </c>
      <c r="AZ12" s="70"/>
      <c r="BA12" s="67"/>
      <c r="BB12" s="69" t="s">
        <v>221</v>
      </c>
      <c r="BC12" s="69"/>
      <c r="BD12" s="69" t="s">
        <v>223</v>
      </c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3"/>
      <c r="BV12" s="7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9"/>
      <c r="CS12" s="7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9"/>
      <c r="DN12" s="7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9"/>
      <c r="EI12" s="7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9"/>
      <c r="FE12" s="7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9"/>
      <c r="GA12" s="7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9"/>
      <c r="GU12" s="7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9"/>
    </row>
    <row r="13" spans="1:223" x14ac:dyDescent="0.25">
      <c r="A13" s="41">
        <v>11</v>
      </c>
      <c r="B13" s="26" t="s">
        <v>12</v>
      </c>
      <c r="C13" s="26" t="s">
        <v>37</v>
      </c>
      <c r="D13" s="26" t="s">
        <v>233</v>
      </c>
      <c r="E13" s="26">
        <v>0</v>
      </c>
      <c r="F13" s="26">
        <v>1</v>
      </c>
      <c r="G13" s="26">
        <f t="shared" si="0"/>
        <v>-1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28"/>
      <c r="AB13" s="35"/>
      <c r="AC13" s="36"/>
      <c r="AD13" s="35"/>
      <c r="AE13" s="66" t="s">
        <v>205</v>
      </c>
      <c r="AF13" s="63"/>
      <c r="AG13" s="63"/>
      <c r="AH13" s="63" t="s">
        <v>206</v>
      </c>
      <c r="AI13" s="63"/>
      <c r="AJ13" s="63" t="s">
        <v>208</v>
      </c>
      <c r="AK13" s="63"/>
      <c r="AL13" s="63"/>
      <c r="AM13" s="63"/>
      <c r="AN13" s="63"/>
      <c r="AO13" s="63"/>
      <c r="AP13" s="63"/>
      <c r="AQ13" s="63"/>
      <c r="AR13" s="63" t="s">
        <v>211</v>
      </c>
      <c r="AS13" s="63"/>
      <c r="AT13" s="63" t="s">
        <v>213</v>
      </c>
      <c r="AU13" s="63"/>
      <c r="AV13" s="63"/>
      <c r="AW13" s="63" t="s">
        <v>216</v>
      </c>
      <c r="AX13" s="63"/>
      <c r="AY13" s="63" t="s">
        <v>218</v>
      </c>
      <c r="AZ13" s="64"/>
      <c r="BA13" s="62"/>
      <c r="BB13" s="63" t="s">
        <v>221</v>
      </c>
      <c r="BC13" s="37"/>
      <c r="BD13" s="37" t="s">
        <v>223</v>
      </c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6"/>
      <c r="BV13" s="10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2"/>
      <c r="CS13" s="10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2"/>
      <c r="DN13" s="10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2"/>
      <c r="EI13" s="10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2"/>
      <c r="FE13" s="10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2"/>
      <c r="GA13" s="10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2"/>
      <c r="GU13" s="10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2"/>
    </row>
    <row r="14" spans="1:223" x14ac:dyDescent="0.25">
      <c r="A14" s="15">
        <v>12</v>
      </c>
      <c r="B14" s="8" t="s">
        <v>13</v>
      </c>
      <c r="C14" s="8" t="s">
        <v>38</v>
      </c>
      <c r="D14" s="8" t="s">
        <v>249</v>
      </c>
      <c r="E14" s="8">
        <v>8</v>
      </c>
      <c r="F14" s="8">
        <v>6</v>
      </c>
      <c r="G14" s="8">
        <f t="shared" si="0"/>
        <v>2</v>
      </c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8"/>
      <c r="AB14" s="32"/>
      <c r="AC14" s="33"/>
      <c r="AD14" s="67" t="s">
        <v>204</v>
      </c>
      <c r="AE14" s="69"/>
      <c r="AF14" s="69"/>
      <c r="AG14" s="69" t="s">
        <v>226</v>
      </c>
      <c r="AH14" s="69"/>
      <c r="AI14" s="69" t="s">
        <v>257</v>
      </c>
      <c r="AJ14" s="69"/>
      <c r="AK14" s="69"/>
      <c r="AL14" s="69"/>
      <c r="AM14" s="69"/>
      <c r="AN14" s="69"/>
      <c r="AO14" s="69"/>
      <c r="AP14" s="69"/>
      <c r="AQ14" s="69"/>
      <c r="AR14" s="69"/>
      <c r="AS14" s="69" t="s">
        <v>212</v>
      </c>
      <c r="AT14" s="69"/>
      <c r="AU14" s="69" t="s">
        <v>214</v>
      </c>
      <c r="AV14" s="34" t="s">
        <v>243</v>
      </c>
      <c r="AW14" s="34"/>
      <c r="AX14" s="34" t="s">
        <v>244</v>
      </c>
      <c r="AY14" s="34"/>
      <c r="AZ14" s="33" t="s">
        <v>219</v>
      </c>
      <c r="BA14" s="32" t="s">
        <v>220</v>
      </c>
      <c r="BB14" s="34"/>
      <c r="BC14" s="34" t="s">
        <v>222</v>
      </c>
      <c r="BD14" s="34"/>
      <c r="BE14" s="34"/>
      <c r="BF14" s="34" t="s">
        <v>265</v>
      </c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3"/>
      <c r="BV14" s="7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9"/>
      <c r="CS14" s="7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9"/>
      <c r="DN14" s="7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9"/>
      <c r="EI14" s="7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9"/>
      <c r="FE14" s="7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9"/>
      <c r="GA14" s="7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9"/>
      <c r="GU14" s="7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9"/>
    </row>
    <row r="15" spans="1:223" x14ac:dyDescent="0.25">
      <c r="A15" s="41">
        <v>13</v>
      </c>
      <c r="B15" s="26" t="s">
        <v>245</v>
      </c>
      <c r="C15" s="26" t="s">
        <v>37</v>
      </c>
      <c r="D15" s="26" t="s">
        <v>230</v>
      </c>
      <c r="E15" s="26">
        <v>0</v>
      </c>
      <c r="F15" s="26">
        <v>2</v>
      </c>
      <c r="G15" s="26">
        <f t="shared" si="0"/>
        <v>-2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28"/>
      <c r="AB15" s="35" t="s">
        <v>203</v>
      </c>
      <c r="AC15" s="36" t="s">
        <v>225</v>
      </c>
      <c r="AD15" s="62"/>
      <c r="AE15" s="63" t="s">
        <v>205</v>
      </c>
      <c r="AF15" s="63"/>
      <c r="AG15" s="63"/>
      <c r="AH15" s="63" t="s">
        <v>206</v>
      </c>
      <c r="AI15" s="63"/>
      <c r="AJ15" s="63" t="s">
        <v>208</v>
      </c>
      <c r="AK15" s="63"/>
      <c r="AL15" s="63"/>
      <c r="AM15" s="63"/>
      <c r="AN15" s="63"/>
      <c r="AO15" s="63"/>
      <c r="AP15" s="63"/>
      <c r="AQ15" s="63"/>
      <c r="AR15" s="63" t="s">
        <v>211</v>
      </c>
      <c r="AS15" s="63"/>
      <c r="AT15" s="63" t="s">
        <v>213</v>
      </c>
      <c r="AU15" s="63" t="s">
        <v>214</v>
      </c>
      <c r="AV15" s="63"/>
      <c r="AW15" s="63" t="s">
        <v>216</v>
      </c>
      <c r="AX15" s="63"/>
      <c r="AY15" s="63" t="s">
        <v>218</v>
      </c>
      <c r="AZ15" s="64"/>
      <c r="BA15" s="35"/>
      <c r="BB15" s="37" t="s">
        <v>221</v>
      </c>
      <c r="BC15" s="37"/>
      <c r="BD15" s="37" t="s">
        <v>223</v>
      </c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6"/>
      <c r="BV15" s="10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2"/>
      <c r="CS15" s="10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2"/>
      <c r="DN15" s="10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2"/>
      <c r="EI15" s="10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2"/>
      <c r="FE15" s="10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2"/>
      <c r="GA15" s="10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2"/>
      <c r="GU15" s="10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2"/>
    </row>
    <row r="16" spans="1:223" x14ac:dyDescent="0.25">
      <c r="A16" s="39">
        <v>14</v>
      </c>
      <c r="B16" s="38" t="s">
        <v>15</v>
      </c>
      <c r="C16" s="38" t="s">
        <v>37</v>
      </c>
      <c r="D16" s="38" t="s">
        <v>238</v>
      </c>
      <c r="E16" s="38">
        <v>0</v>
      </c>
      <c r="F16" s="38">
        <v>2</v>
      </c>
      <c r="G16" s="38">
        <f t="shared" si="0"/>
        <v>-2</v>
      </c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8"/>
      <c r="AB16" s="32"/>
      <c r="AC16" s="33"/>
      <c r="AD16" s="32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69" t="s">
        <v>210</v>
      </c>
      <c r="AQ16" s="69"/>
      <c r="AR16" s="69"/>
      <c r="AS16" s="69" t="s">
        <v>212</v>
      </c>
      <c r="AT16" s="69"/>
      <c r="AU16" s="69" t="s">
        <v>214</v>
      </c>
      <c r="AV16" s="69" t="s">
        <v>215</v>
      </c>
      <c r="AW16" s="69"/>
      <c r="AX16" s="69" t="s">
        <v>217</v>
      </c>
      <c r="AY16" s="69"/>
      <c r="AZ16" s="70" t="s">
        <v>219</v>
      </c>
      <c r="BA16" s="67" t="s">
        <v>220</v>
      </c>
      <c r="BB16" s="69"/>
      <c r="BC16" s="69" t="s">
        <v>222</v>
      </c>
      <c r="BD16" s="34"/>
      <c r="BE16" s="34" t="s">
        <v>224</v>
      </c>
      <c r="BF16" s="34" t="s">
        <v>265</v>
      </c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3"/>
      <c r="BV16" s="7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9"/>
      <c r="CS16" s="7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9"/>
      <c r="DN16" s="7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9"/>
      <c r="EI16" s="7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9"/>
      <c r="FE16" s="7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9"/>
      <c r="GA16" s="7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9"/>
      <c r="GU16" s="7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9"/>
    </row>
    <row r="17" spans="1:223" x14ac:dyDescent="0.25">
      <c r="A17" s="13">
        <v>15</v>
      </c>
      <c r="B17" s="14" t="s">
        <v>16</v>
      </c>
      <c r="C17" s="14" t="s">
        <v>38</v>
      </c>
      <c r="D17" s="14" t="s">
        <v>250</v>
      </c>
      <c r="E17" s="14">
        <v>8</v>
      </c>
      <c r="F17" s="14">
        <v>3</v>
      </c>
      <c r="G17" s="14">
        <f t="shared" si="0"/>
        <v>5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28"/>
      <c r="AB17" s="35"/>
      <c r="AC17" s="36"/>
      <c r="AD17" s="62"/>
      <c r="AE17" s="63"/>
      <c r="AF17" s="63"/>
      <c r="AG17" s="63"/>
      <c r="AH17" s="63" t="s">
        <v>206</v>
      </c>
      <c r="AI17" s="63"/>
      <c r="AJ17" s="63" t="s">
        <v>208</v>
      </c>
      <c r="AK17" s="63"/>
      <c r="AL17" s="63"/>
      <c r="AM17" s="63"/>
      <c r="AN17" s="63"/>
      <c r="AO17" s="63"/>
      <c r="AP17" s="63"/>
      <c r="AQ17" s="63"/>
      <c r="AR17" s="63"/>
      <c r="AS17" s="63" t="s">
        <v>212</v>
      </c>
      <c r="AT17" s="63" t="s">
        <v>213</v>
      </c>
      <c r="AU17" s="63"/>
      <c r="AV17" s="63"/>
      <c r="AW17" s="63" t="s">
        <v>216</v>
      </c>
      <c r="AX17" s="37"/>
      <c r="AY17" s="37" t="s">
        <v>218</v>
      </c>
      <c r="AZ17" s="36"/>
      <c r="BA17" s="35"/>
      <c r="BB17" s="37" t="s">
        <v>221</v>
      </c>
      <c r="BC17" s="37"/>
      <c r="BD17" s="37" t="s">
        <v>223</v>
      </c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6"/>
      <c r="BV17" s="10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2"/>
      <c r="CS17" s="10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2"/>
      <c r="DN17" s="10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2"/>
      <c r="EI17" s="10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2"/>
      <c r="FE17" s="10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2"/>
      <c r="GA17" s="10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2"/>
      <c r="GU17" s="10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2"/>
    </row>
    <row r="18" spans="1:223" x14ac:dyDescent="0.25">
      <c r="A18" s="15">
        <v>16</v>
      </c>
      <c r="B18" s="8" t="s">
        <v>17</v>
      </c>
      <c r="C18" s="8" t="s">
        <v>38</v>
      </c>
      <c r="D18" s="8" t="s">
        <v>251</v>
      </c>
      <c r="E18" s="8">
        <v>8</v>
      </c>
      <c r="F18" s="8">
        <v>7</v>
      </c>
      <c r="G18" s="8">
        <f t="shared" si="0"/>
        <v>1</v>
      </c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8"/>
      <c r="AB18" s="32"/>
      <c r="AC18" s="33"/>
      <c r="AD18" s="32"/>
      <c r="AE18" s="34"/>
      <c r="AF18" s="34"/>
      <c r="AG18" s="34"/>
      <c r="AH18" s="34"/>
      <c r="AI18" s="34"/>
      <c r="AJ18" s="34" t="s">
        <v>208</v>
      </c>
      <c r="AK18" s="34"/>
      <c r="AL18" s="34"/>
      <c r="AM18" s="34"/>
      <c r="AN18" s="34"/>
      <c r="AO18" s="34"/>
      <c r="AP18" s="34"/>
      <c r="AQ18" s="34"/>
      <c r="AR18" s="34" t="s">
        <v>211</v>
      </c>
      <c r="AS18" s="34"/>
      <c r="AT18" s="34" t="s">
        <v>213</v>
      </c>
      <c r="AU18" s="34"/>
      <c r="AV18" s="34"/>
      <c r="AW18" s="34" t="s">
        <v>216</v>
      </c>
      <c r="AX18" s="34"/>
      <c r="AY18" s="34" t="s">
        <v>218</v>
      </c>
      <c r="AZ18" s="33"/>
      <c r="BA18" s="32"/>
      <c r="BB18" s="34" t="s">
        <v>221</v>
      </c>
      <c r="BC18" s="34"/>
      <c r="BD18" s="34" t="s">
        <v>223</v>
      </c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3"/>
      <c r="BV18" s="7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9"/>
      <c r="CS18" s="7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9"/>
      <c r="DN18" s="7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9"/>
      <c r="EI18" s="7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9"/>
      <c r="FE18" s="7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9"/>
      <c r="GA18" s="7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9"/>
      <c r="GU18" s="7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9"/>
    </row>
    <row r="19" spans="1:223" x14ac:dyDescent="0.25">
      <c r="A19" s="41">
        <v>17</v>
      </c>
      <c r="B19" s="26" t="s">
        <v>18</v>
      </c>
      <c r="C19" s="26" t="s">
        <v>37</v>
      </c>
      <c r="D19" s="26" t="s">
        <v>250</v>
      </c>
      <c r="E19" s="26">
        <v>0</v>
      </c>
      <c r="F19" s="26">
        <v>2</v>
      </c>
      <c r="G19" s="26">
        <f t="shared" si="0"/>
        <v>-2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28"/>
      <c r="AB19" s="35"/>
      <c r="AC19" s="36"/>
      <c r="AD19" s="62"/>
      <c r="AE19" s="63" t="s">
        <v>205</v>
      </c>
      <c r="AF19" s="63"/>
      <c r="AG19" s="63"/>
      <c r="AH19" s="63" t="s">
        <v>206</v>
      </c>
      <c r="AI19" s="63"/>
      <c r="AJ19" s="63" t="s">
        <v>208</v>
      </c>
      <c r="AK19" s="63"/>
      <c r="AL19" s="63"/>
      <c r="AM19" s="63"/>
      <c r="AN19" s="63"/>
      <c r="AO19" s="63"/>
      <c r="AP19" s="63"/>
      <c r="AQ19" s="63"/>
      <c r="AR19" s="63" t="s">
        <v>211</v>
      </c>
      <c r="AS19" s="63"/>
      <c r="AT19" s="63" t="s">
        <v>213</v>
      </c>
      <c r="AU19" s="37"/>
      <c r="AV19" s="37"/>
      <c r="AW19" s="37"/>
      <c r="AX19" s="37"/>
      <c r="AY19" s="37" t="s">
        <v>218</v>
      </c>
      <c r="AZ19" s="36"/>
      <c r="BA19" s="35"/>
      <c r="BB19" s="37" t="s">
        <v>221</v>
      </c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6"/>
      <c r="BV19" s="10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2"/>
      <c r="CS19" s="10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2"/>
      <c r="DN19" s="10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2"/>
      <c r="EI19" s="10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2"/>
      <c r="FE19" s="10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2"/>
      <c r="GA19" s="10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2"/>
      <c r="GU19" s="10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2"/>
    </row>
    <row r="20" spans="1:223" x14ac:dyDescent="0.25">
      <c r="A20" s="15">
        <v>18</v>
      </c>
      <c r="B20" s="8" t="s">
        <v>19</v>
      </c>
      <c r="C20" s="8" t="s">
        <v>38</v>
      </c>
      <c r="D20" s="8" t="s">
        <v>248</v>
      </c>
      <c r="E20" s="8">
        <v>8</v>
      </c>
      <c r="F20" s="8">
        <v>5</v>
      </c>
      <c r="G20" s="8">
        <f t="shared" si="0"/>
        <v>3</v>
      </c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8"/>
      <c r="AB20" s="32"/>
      <c r="AC20" s="33"/>
      <c r="AD20" s="67"/>
      <c r="AE20" s="69"/>
      <c r="AF20" s="69"/>
      <c r="AG20" s="69" t="s">
        <v>226</v>
      </c>
      <c r="AH20" s="69"/>
      <c r="AI20" s="69" t="s">
        <v>257</v>
      </c>
      <c r="AJ20" s="69"/>
      <c r="AK20" s="69" t="s">
        <v>209</v>
      </c>
      <c r="AL20" s="69"/>
      <c r="AM20" s="69"/>
      <c r="AN20" s="69"/>
      <c r="AO20" s="69"/>
      <c r="AP20" s="69" t="s">
        <v>210</v>
      </c>
      <c r="AQ20" s="69" t="s">
        <v>258</v>
      </c>
      <c r="AR20" s="69"/>
      <c r="AS20" s="69" t="s">
        <v>212</v>
      </c>
      <c r="AT20" s="69"/>
      <c r="AU20" s="69"/>
      <c r="AV20" s="69" t="s">
        <v>215</v>
      </c>
      <c r="AW20" s="34"/>
      <c r="AX20" s="34" t="s">
        <v>217</v>
      </c>
      <c r="AY20" s="34"/>
      <c r="AZ20" s="33" t="s">
        <v>219</v>
      </c>
      <c r="BA20" s="32" t="s">
        <v>220</v>
      </c>
      <c r="BB20" s="34"/>
      <c r="BC20" s="34"/>
      <c r="BD20" s="34"/>
      <c r="BE20" s="34" t="s">
        <v>224</v>
      </c>
      <c r="BF20" s="34" t="s">
        <v>265</v>
      </c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3"/>
      <c r="BV20" s="7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9"/>
      <c r="CS20" s="7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9"/>
      <c r="DN20" s="7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9"/>
      <c r="EI20" s="7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9"/>
      <c r="FE20" s="7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9"/>
      <c r="GA20" s="7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9"/>
      <c r="GU20" s="7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9"/>
    </row>
    <row r="21" spans="1:223" x14ac:dyDescent="0.25">
      <c r="A21" s="13">
        <v>19</v>
      </c>
      <c r="B21" s="14" t="s">
        <v>20</v>
      </c>
      <c r="C21" s="14" t="s">
        <v>38</v>
      </c>
      <c r="D21" s="14" t="s">
        <v>252</v>
      </c>
      <c r="E21" s="14">
        <v>12</v>
      </c>
      <c r="F21" s="14">
        <v>6</v>
      </c>
      <c r="G21" s="14">
        <f t="shared" si="0"/>
        <v>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8"/>
      <c r="AB21" s="35"/>
      <c r="AC21" s="36"/>
      <c r="AD21" s="62"/>
      <c r="AE21" s="63" t="s">
        <v>205</v>
      </c>
      <c r="AF21" s="63"/>
      <c r="AG21" s="63" t="s">
        <v>226</v>
      </c>
      <c r="AH21" s="63"/>
      <c r="AI21" s="63" t="s">
        <v>257</v>
      </c>
      <c r="AJ21" s="63"/>
      <c r="AK21" s="63"/>
      <c r="AL21" s="63"/>
      <c r="AM21" s="63"/>
      <c r="AN21" s="63"/>
      <c r="AO21" s="63"/>
      <c r="AP21" s="63" t="s">
        <v>210</v>
      </c>
      <c r="AQ21" s="37"/>
      <c r="AR21" s="37" t="s">
        <v>211</v>
      </c>
      <c r="AS21" s="37"/>
      <c r="AT21" s="37"/>
      <c r="AU21" s="37" t="s">
        <v>214</v>
      </c>
      <c r="AV21" s="37"/>
      <c r="AW21" s="37" t="s">
        <v>216</v>
      </c>
      <c r="AX21" s="37"/>
      <c r="AY21" s="37" t="s">
        <v>218</v>
      </c>
      <c r="AZ21" s="36"/>
      <c r="BA21" s="35"/>
      <c r="BB21" s="37" t="s">
        <v>221</v>
      </c>
      <c r="BC21" s="37"/>
      <c r="BD21" s="37" t="s">
        <v>223</v>
      </c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6"/>
      <c r="BV21" s="10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2"/>
      <c r="CS21" s="10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2"/>
      <c r="DN21" s="10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2"/>
      <c r="EI21" s="10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2"/>
      <c r="FE21" s="10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2"/>
      <c r="GA21" s="10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2"/>
      <c r="GU21" s="10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2"/>
    </row>
    <row r="22" spans="1:223" x14ac:dyDescent="0.25">
      <c r="A22" s="15">
        <v>20</v>
      </c>
      <c r="B22" s="8" t="s">
        <v>21</v>
      </c>
      <c r="C22" s="8" t="s">
        <v>38</v>
      </c>
      <c r="D22" s="8" t="s">
        <v>249</v>
      </c>
      <c r="E22" s="8">
        <v>12</v>
      </c>
      <c r="F22" s="8">
        <v>5</v>
      </c>
      <c r="G22" s="8">
        <f t="shared" si="0"/>
        <v>7</v>
      </c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8"/>
      <c r="AB22" s="32"/>
      <c r="AC22" s="33"/>
      <c r="AD22" s="67" t="s">
        <v>204</v>
      </c>
      <c r="AE22" s="69"/>
      <c r="AF22" s="69"/>
      <c r="AG22" s="69" t="s">
        <v>226</v>
      </c>
      <c r="AH22" s="69"/>
      <c r="AI22" s="69" t="s">
        <v>257</v>
      </c>
      <c r="AJ22" s="69"/>
      <c r="AK22" s="69" t="s">
        <v>209</v>
      </c>
      <c r="AL22" s="69"/>
      <c r="AM22" s="69"/>
      <c r="AN22" s="69"/>
      <c r="AO22" s="69"/>
      <c r="AP22" s="69" t="s">
        <v>210</v>
      </c>
      <c r="AQ22" s="69" t="s">
        <v>258</v>
      </c>
      <c r="AR22" s="69"/>
      <c r="AS22" s="69" t="s">
        <v>212</v>
      </c>
      <c r="AT22" s="69"/>
      <c r="AU22" s="69" t="s">
        <v>214</v>
      </c>
      <c r="AV22" s="34" t="s">
        <v>215</v>
      </c>
      <c r="AW22" s="34"/>
      <c r="AX22" s="34" t="s">
        <v>217</v>
      </c>
      <c r="AY22" s="34"/>
      <c r="AZ22" s="33" t="s">
        <v>219</v>
      </c>
      <c r="BA22" s="32"/>
      <c r="BB22" s="34"/>
      <c r="BC22" s="34" t="s">
        <v>222</v>
      </c>
      <c r="BD22" s="34"/>
      <c r="BE22" s="34"/>
      <c r="BF22" s="34" t="s">
        <v>265</v>
      </c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3"/>
      <c r="BV22" s="7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9"/>
      <c r="CS22" s="7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9"/>
      <c r="DN22" s="7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9"/>
      <c r="EI22" s="7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9"/>
      <c r="FE22" s="7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9"/>
      <c r="GA22" s="7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9"/>
      <c r="GU22" s="7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9"/>
    </row>
    <row r="23" spans="1:223" x14ac:dyDescent="0.25">
      <c r="A23" s="41">
        <v>21</v>
      </c>
      <c r="B23" s="26" t="s">
        <v>22</v>
      </c>
      <c r="C23" s="26" t="s">
        <v>37</v>
      </c>
      <c r="D23" s="26" t="s">
        <v>253</v>
      </c>
      <c r="E23" s="26">
        <v>0</v>
      </c>
      <c r="F23" s="26">
        <v>2</v>
      </c>
      <c r="G23" s="26">
        <f t="shared" si="0"/>
        <v>-2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8"/>
      <c r="AB23" s="35"/>
      <c r="AC23" s="36"/>
      <c r="AD23" s="62"/>
      <c r="AE23" s="63" t="s">
        <v>205</v>
      </c>
      <c r="AF23" s="63"/>
      <c r="AG23" s="63"/>
      <c r="AH23" s="63" t="s">
        <v>206</v>
      </c>
      <c r="AI23" s="63"/>
      <c r="AJ23" s="63" t="s">
        <v>208</v>
      </c>
      <c r="AK23" s="63"/>
      <c r="AL23" s="63"/>
      <c r="AM23" s="63"/>
      <c r="AN23" s="63"/>
      <c r="AO23" s="63"/>
      <c r="AP23" s="63"/>
      <c r="AQ23" s="63"/>
      <c r="AR23" s="63" t="s">
        <v>211</v>
      </c>
      <c r="AS23" s="63"/>
      <c r="AT23" s="63" t="s">
        <v>213</v>
      </c>
      <c r="AU23" s="37"/>
      <c r="AV23" s="37"/>
      <c r="AW23" s="37" t="s">
        <v>216</v>
      </c>
      <c r="AX23" s="37"/>
      <c r="AY23" s="37"/>
      <c r="AZ23" s="36"/>
      <c r="BA23" s="35"/>
      <c r="BB23" s="37"/>
      <c r="BC23" s="37" t="s">
        <v>222</v>
      </c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6"/>
      <c r="BV23" s="10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2"/>
      <c r="CS23" s="10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2"/>
      <c r="DN23" s="10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2"/>
      <c r="EI23" s="10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2"/>
      <c r="FE23" s="10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2"/>
      <c r="GA23" s="10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2"/>
      <c r="GU23" s="10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2"/>
    </row>
    <row r="24" spans="1:223" x14ac:dyDescent="0.25">
      <c r="A24" s="15">
        <v>22</v>
      </c>
      <c r="B24" s="8" t="s">
        <v>256</v>
      </c>
      <c r="C24" s="8" t="s">
        <v>38</v>
      </c>
      <c r="D24" s="8" t="s">
        <v>250</v>
      </c>
      <c r="E24" s="8">
        <v>8</v>
      </c>
      <c r="F24" s="8">
        <v>3</v>
      </c>
      <c r="G24" s="8">
        <f t="shared" si="0"/>
        <v>5</v>
      </c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8"/>
      <c r="AB24" s="32"/>
      <c r="AC24" s="33"/>
      <c r="AD24" s="67"/>
      <c r="AE24" s="69" t="s">
        <v>205</v>
      </c>
      <c r="AF24" s="69"/>
      <c r="AG24" s="69"/>
      <c r="AH24" s="69" t="s">
        <v>206</v>
      </c>
      <c r="AI24" s="69"/>
      <c r="AJ24" s="69"/>
      <c r="AK24" s="69"/>
      <c r="AL24" s="69"/>
      <c r="AM24" s="69"/>
      <c r="AN24" s="69"/>
      <c r="AO24" s="69"/>
      <c r="AP24" s="69"/>
      <c r="AQ24" s="69"/>
      <c r="AR24" s="69" t="s">
        <v>211</v>
      </c>
      <c r="AS24" s="69"/>
      <c r="AT24" s="69" t="s">
        <v>213</v>
      </c>
      <c r="AU24" s="69"/>
      <c r="AV24" s="69"/>
      <c r="AW24" s="69" t="s">
        <v>216</v>
      </c>
      <c r="AX24" s="34"/>
      <c r="AY24" s="34" t="s">
        <v>218</v>
      </c>
      <c r="AZ24" s="33"/>
      <c r="BA24" s="32"/>
      <c r="BB24" s="34" t="s">
        <v>221</v>
      </c>
      <c r="BC24" s="34"/>
      <c r="BD24" s="34" t="s">
        <v>223</v>
      </c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3"/>
      <c r="BV24" s="7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9"/>
      <c r="CS24" s="7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9"/>
      <c r="DN24" s="7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9"/>
      <c r="EI24" s="7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9"/>
      <c r="FE24" s="7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9"/>
      <c r="GA24" s="7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9"/>
      <c r="GU24" s="7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9"/>
    </row>
    <row r="25" spans="1:223" x14ac:dyDescent="0.25">
      <c r="A25" s="13">
        <v>23</v>
      </c>
      <c r="B25" s="14" t="s">
        <v>24</v>
      </c>
      <c r="C25" s="14" t="s">
        <v>38</v>
      </c>
      <c r="D25" s="14" t="s">
        <v>236</v>
      </c>
      <c r="E25" s="14">
        <v>8</v>
      </c>
      <c r="F25" s="14">
        <v>3</v>
      </c>
      <c r="G25" s="14">
        <f t="shared" si="0"/>
        <v>5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8"/>
      <c r="AB25" s="35"/>
      <c r="AC25" s="36"/>
      <c r="AD25" s="62" t="s">
        <v>204</v>
      </c>
      <c r="AE25" s="63"/>
      <c r="AF25" s="63"/>
      <c r="AG25" s="63" t="s">
        <v>226</v>
      </c>
      <c r="AH25" s="63"/>
      <c r="AI25" s="63" t="s">
        <v>207</v>
      </c>
      <c r="AJ25" s="63"/>
      <c r="AK25" s="63"/>
      <c r="AL25" s="63"/>
      <c r="AM25" s="63"/>
      <c r="AN25" s="63"/>
      <c r="AO25" s="63"/>
      <c r="AP25" s="63"/>
      <c r="AQ25" s="63" t="s">
        <v>258</v>
      </c>
      <c r="AR25" s="63"/>
      <c r="AS25" s="63" t="s">
        <v>212</v>
      </c>
      <c r="AT25" s="63"/>
      <c r="AU25" s="63"/>
      <c r="AV25" s="63" t="s">
        <v>215</v>
      </c>
      <c r="AW25" s="63"/>
      <c r="AX25" s="63" t="s">
        <v>217</v>
      </c>
      <c r="AY25" s="63"/>
      <c r="AZ25" s="63"/>
      <c r="BA25" s="35" t="s">
        <v>220</v>
      </c>
      <c r="BB25" s="37"/>
      <c r="BC25" s="37" t="s">
        <v>222</v>
      </c>
      <c r="BD25" s="37"/>
      <c r="BE25" s="37"/>
      <c r="BF25" s="37" t="s">
        <v>265</v>
      </c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6"/>
      <c r="BV25" s="1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2"/>
      <c r="CS25" s="10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2"/>
      <c r="DN25" s="10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2"/>
      <c r="EI25" s="10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2"/>
      <c r="FE25" s="10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2"/>
      <c r="GA25" s="10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2"/>
      <c r="GU25" s="10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2"/>
    </row>
    <row r="26" spans="1:223" x14ac:dyDescent="0.25">
      <c r="A26" s="15">
        <v>24</v>
      </c>
      <c r="B26" s="8" t="s">
        <v>246</v>
      </c>
      <c r="C26" s="8" t="s">
        <v>38</v>
      </c>
      <c r="D26" s="59" t="s">
        <v>236</v>
      </c>
      <c r="E26" s="8">
        <v>8</v>
      </c>
      <c r="F26" s="8">
        <v>2</v>
      </c>
      <c r="G26" s="8">
        <f t="shared" si="0"/>
        <v>6</v>
      </c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8"/>
      <c r="AB26" s="32"/>
      <c r="AC26" s="33"/>
      <c r="AD26" s="32"/>
      <c r="AE26" s="34"/>
      <c r="AF26" s="34"/>
      <c r="AG26" s="69" t="s">
        <v>226</v>
      </c>
      <c r="AH26" s="69"/>
      <c r="AI26" s="69" t="s">
        <v>207</v>
      </c>
      <c r="AJ26" s="69"/>
      <c r="AK26" s="69" t="s">
        <v>209</v>
      </c>
      <c r="AL26" s="69"/>
      <c r="AM26" s="69"/>
      <c r="AN26" s="69"/>
      <c r="AO26" s="69"/>
      <c r="AP26" s="69" t="s">
        <v>210</v>
      </c>
      <c r="AQ26" s="69" t="s">
        <v>254</v>
      </c>
      <c r="AR26" s="69"/>
      <c r="AS26" s="69"/>
      <c r="AT26" s="69"/>
      <c r="AU26" s="69" t="s">
        <v>214</v>
      </c>
      <c r="AV26" s="69" t="s">
        <v>215</v>
      </c>
      <c r="AW26" s="69"/>
      <c r="AX26" s="69"/>
      <c r="AY26" s="69"/>
      <c r="AZ26" s="70" t="s">
        <v>219</v>
      </c>
      <c r="BA26" s="32" t="s">
        <v>220</v>
      </c>
      <c r="BB26" s="34"/>
      <c r="BC26" s="34"/>
      <c r="BD26" s="34"/>
      <c r="BE26" s="34"/>
      <c r="BF26" s="34" t="s">
        <v>265</v>
      </c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3"/>
      <c r="BV26" s="7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9"/>
      <c r="CS26" s="7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9"/>
      <c r="DN26" s="7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9"/>
      <c r="EI26" s="7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9"/>
      <c r="FE26" s="7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9"/>
      <c r="GA26" s="7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9"/>
      <c r="GU26" s="7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9"/>
    </row>
    <row r="27" spans="1:223" x14ac:dyDescent="0.25">
      <c r="A27" s="41">
        <v>25</v>
      </c>
      <c r="B27" s="26" t="s">
        <v>26</v>
      </c>
      <c r="C27" s="26" t="s">
        <v>37</v>
      </c>
      <c r="D27" s="26" t="s">
        <v>240</v>
      </c>
      <c r="E27" s="26">
        <v>0</v>
      </c>
      <c r="F27" s="26">
        <v>0</v>
      </c>
      <c r="G27" s="26">
        <f t="shared" si="0"/>
        <v>0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8"/>
      <c r="AB27" s="35"/>
      <c r="AC27" s="36"/>
      <c r="AD27" s="35"/>
      <c r="AE27" s="37"/>
      <c r="AF27" s="37"/>
      <c r="AG27" s="37"/>
      <c r="AH27" s="63" t="s">
        <v>206</v>
      </c>
      <c r="AI27" s="63"/>
      <c r="AJ27" s="63" t="s">
        <v>208</v>
      </c>
      <c r="AK27" s="63"/>
      <c r="AL27" s="63"/>
      <c r="AM27" s="63"/>
      <c r="AN27" s="63"/>
      <c r="AO27" s="63"/>
      <c r="AP27" s="63"/>
      <c r="AQ27" s="63"/>
      <c r="AR27" s="63" t="s">
        <v>211</v>
      </c>
      <c r="AS27" s="63"/>
      <c r="AT27" s="63"/>
      <c r="AU27" s="63" t="s">
        <v>214</v>
      </c>
      <c r="AV27" s="63"/>
      <c r="AW27" s="63" t="s">
        <v>216</v>
      </c>
      <c r="AX27" s="63"/>
      <c r="AY27" s="63"/>
      <c r="AZ27" s="64"/>
      <c r="BA27" s="62"/>
      <c r="BB27" s="63" t="s">
        <v>221</v>
      </c>
      <c r="BC27" s="63"/>
      <c r="BD27" s="63" t="s">
        <v>223</v>
      </c>
      <c r="BE27" s="63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6"/>
      <c r="BV27" s="10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2"/>
      <c r="CS27" s="10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2"/>
      <c r="DN27" s="10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2"/>
      <c r="EI27" s="10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2"/>
      <c r="FE27" s="10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2"/>
      <c r="GA27" s="10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2"/>
      <c r="GU27" s="10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2"/>
    </row>
    <row r="28" spans="1:223" x14ac:dyDescent="0.25">
      <c r="A28" s="39">
        <v>26</v>
      </c>
      <c r="B28" s="38" t="s">
        <v>27</v>
      </c>
      <c r="C28" s="38" t="s">
        <v>37</v>
      </c>
      <c r="D28" s="38" t="s">
        <v>240</v>
      </c>
      <c r="E28" s="38">
        <v>0</v>
      </c>
      <c r="F28" s="38">
        <v>0</v>
      </c>
      <c r="G28" s="38">
        <f t="shared" si="0"/>
        <v>0</v>
      </c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8"/>
      <c r="AB28" s="32"/>
      <c r="AC28" s="33"/>
      <c r="AD28" s="32"/>
      <c r="AE28" s="34"/>
      <c r="AF28" s="34"/>
      <c r="AG28" s="34"/>
      <c r="AH28" s="69" t="s">
        <v>206</v>
      </c>
      <c r="AI28" s="69"/>
      <c r="AJ28" s="69" t="s">
        <v>208</v>
      </c>
      <c r="AK28" s="69"/>
      <c r="AL28" s="69"/>
      <c r="AM28" s="69"/>
      <c r="AN28" s="69"/>
      <c r="AO28" s="69"/>
      <c r="AP28" s="69"/>
      <c r="AQ28" s="69"/>
      <c r="AR28" s="69" t="s">
        <v>211</v>
      </c>
      <c r="AS28" s="69"/>
      <c r="AT28" s="69" t="s">
        <v>213</v>
      </c>
      <c r="AU28" s="69"/>
      <c r="AV28" s="69"/>
      <c r="AW28" s="69" t="s">
        <v>216</v>
      </c>
      <c r="AX28" s="69"/>
      <c r="AY28" s="69"/>
      <c r="AZ28" s="70"/>
      <c r="BA28" s="67"/>
      <c r="BB28" s="69" t="s">
        <v>221</v>
      </c>
      <c r="BC28" s="69"/>
      <c r="BD28" s="69" t="s">
        <v>223</v>
      </c>
      <c r="BE28" s="63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3"/>
      <c r="BV28" s="7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9"/>
      <c r="CS28" s="7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9"/>
      <c r="DN28" s="7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9"/>
      <c r="EI28" s="7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9"/>
      <c r="FE28" s="7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9"/>
      <c r="GA28" s="7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9"/>
      <c r="GU28" s="7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9"/>
    </row>
    <row r="29" spans="1:223" x14ac:dyDescent="0.25">
      <c r="A29" s="41">
        <v>27</v>
      </c>
      <c r="B29" s="26" t="s">
        <v>28</v>
      </c>
      <c r="C29" s="26" t="s">
        <v>37</v>
      </c>
      <c r="D29" s="26" t="s">
        <v>240</v>
      </c>
      <c r="E29" s="26">
        <v>0</v>
      </c>
      <c r="F29" s="26">
        <v>0</v>
      </c>
      <c r="G29" s="26">
        <f t="shared" si="0"/>
        <v>0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8"/>
      <c r="AB29" s="35"/>
      <c r="AC29" s="36"/>
      <c r="AD29" s="35"/>
      <c r="AE29" s="37"/>
      <c r="AF29" s="37"/>
      <c r="AG29" s="37"/>
      <c r="AH29" s="63" t="s">
        <v>206</v>
      </c>
      <c r="AI29" s="63" t="s">
        <v>207</v>
      </c>
      <c r="AJ29" s="63"/>
      <c r="AK29" s="63" t="s">
        <v>209</v>
      </c>
      <c r="AL29" s="63"/>
      <c r="AM29" s="63"/>
      <c r="AN29" s="63"/>
      <c r="AO29" s="63"/>
      <c r="AP29" s="63" t="s">
        <v>210</v>
      </c>
      <c r="AQ29" s="63" t="s">
        <v>254</v>
      </c>
      <c r="AR29" s="63"/>
      <c r="AS29" s="63"/>
      <c r="AT29" s="63"/>
      <c r="AU29" s="63" t="s">
        <v>214</v>
      </c>
      <c r="AV29" s="63"/>
      <c r="AW29" s="63"/>
      <c r="AX29" s="63" t="s">
        <v>217</v>
      </c>
      <c r="AY29" s="63"/>
      <c r="AZ29" s="64" t="s">
        <v>219</v>
      </c>
      <c r="BA29" s="62" t="s">
        <v>220</v>
      </c>
      <c r="BB29" s="63"/>
      <c r="BC29" s="63" t="s">
        <v>222</v>
      </c>
      <c r="BD29" s="63"/>
      <c r="BE29" s="63" t="s">
        <v>224</v>
      </c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6"/>
      <c r="BV29" s="10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2"/>
      <c r="CS29" s="10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2"/>
      <c r="DN29" s="10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2"/>
      <c r="EI29" s="10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2"/>
      <c r="FE29" s="10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2"/>
      <c r="GA29" s="10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2"/>
      <c r="GU29" s="10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2"/>
    </row>
    <row r="30" spans="1:223" x14ac:dyDescent="0.25">
      <c r="A30" s="39">
        <v>28</v>
      </c>
      <c r="B30" s="38" t="s">
        <v>29</v>
      </c>
      <c r="C30" s="38" t="s">
        <v>37</v>
      </c>
      <c r="D30" s="38" t="s">
        <v>240</v>
      </c>
      <c r="E30" s="38">
        <v>0</v>
      </c>
      <c r="F30" s="38">
        <v>1</v>
      </c>
      <c r="G30" s="38">
        <f t="shared" si="0"/>
        <v>-1</v>
      </c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8"/>
      <c r="AB30" s="32"/>
      <c r="AC30" s="33"/>
      <c r="AD30" s="32"/>
      <c r="AE30" s="34"/>
      <c r="AF30" s="34"/>
      <c r="AG30" s="34"/>
      <c r="AH30" s="34"/>
      <c r="AI30" s="69" t="s">
        <v>207</v>
      </c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 t="s">
        <v>214</v>
      </c>
      <c r="AV30" s="69" t="s">
        <v>215</v>
      </c>
      <c r="AW30" s="69"/>
      <c r="AX30" s="69"/>
      <c r="AY30" s="69" t="s">
        <v>218</v>
      </c>
      <c r="AZ30" s="70" t="s">
        <v>219</v>
      </c>
      <c r="BA30" s="67" t="s">
        <v>220</v>
      </c>
      <c r="BB30" s="69"/>
      <c r="BC30" s="69"/>
      <c r="BD30" s="69"/>
      <c r="BE30" s="69"/>
      <c r="BF30" s="34" t="s">
        <v>265</v>
      </c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3"/>
      <c r="BV30" s="7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9"/>
      <c r="CS30" s="7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9"/>
      <c r="DN30" s="7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9"/>
      <c r="EI30" s="7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9"/>
      <c r="FE30" s="7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9"/>
      <c r="GA30" s="7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9"/>
      <c r="GU30" s="7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9"/>
    </row>
    <row r="31" spans="1:223" x14ac:dyDescent="0.25">
      <c r="A31" s="41">
        <v>29</v>
      </c>
      <c r="B31" s="26" t="s">
        <v>30</v>
      </c>
      <c r="C31" s="26" t="s">
        <v>37</v>
      </c>
      <c r="D31" s="26" t="s">
        <v>233</v>
      </c>
      <c r="E31" s="26">
        <v>0</v>
      </c>
      <c r="F31" s="26">
        <v>3</v>
      </c>
      <c r="G31" s="26">
        <f t="shared" si="0"/>
        <v>-3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8"/>
      <c r="AB31" s="35"/>
      <c r="AC31" s="36"/>
      <c r="AD31" s="35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63" t="s">
        <v>254</v>
      </c>
      <c r="AR31" s="63"/>
      <c r="AS31" s="63" t="s">
        <v>212</v>
      </c>
      <c r="AT31" s="63"/>
      <c r="AU31" s="63" t="s">
        <v>214</v>
      </c>
      <c r="AV31" s="63" t="s">
        <v>215</v>
      </c>
      <c r="AW31" s="63" t="s">
        <v>216</v>
      </c>
      <c r="AX31" s="63"/>
      <c r="AY31" s="63" t="s">
        <v>218</v>
      </c>
      <c r="AZ31" s="64" t="s">
        <v>219</v>
      </c>
      <c r="BA31" s="62"/>
      <c r="BB31" s="63"/>
      <c r="BC31" s="63" t="s">
        <v>222</v>
      </c>
      <c r="BD31" s="37" t="s">
        <v>223</v>
      </c>
      <c r="BE31" s="37" t="s">
        <v>224</v>
      </c>
      <c r="BF31" s="37" t="s">
        <v>265</v>
      </c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6"/>
      <c r="BV31" s="10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2"/>
      <c r="CS31" s="10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2"/>
      <c r="DN31" s="10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2"/>
      <c r="EI31" s="10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2"/>
      <c r="FE31" s="10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2"/>
      <c r="GA31" s="10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2"/>
      <c r="GU31" s="10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2"/>
    </row>
    <row r="32" spans="1:223" x14ac:dyDescent="0.25">
      <c r="A32" s="15">
        <v>30</v>
      </c>
      <c r="B32" s="8" t="s">
        <v>31</v>
      </c>
      <c r="C32" s="8" t="s">
        <v>38</v>
      </c>
      <c r="D32" s="8" t="s">
        <v>253</v>
      </c>
      <c r="E32" s="8">
        <v>8</v>
      </c>
      <c r="F32" s="8">
        <v>4</v>
      </c>
      <c r="G32" s="8">
        <f t="shared" si="0"/>
        <v>4</v>
      </c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8"/>
      <c r="AB32" s="32"/>
      <c r="AC32" s="33"/>
      <c r="AD32" s="32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 t="s">
        <v>216</v>
      </c>
      <c r="AX32" s="34"/>
      <c r="AY32" s="34" t="s">
        <v>218</v>
      </c>
      <c r="AZ32" s="33"/>
      <c r="BA32" s="32"/>
      <c r="BB32" s="34" t="s">
        <v>221</v>
      </c>
      <c r="BC32" s="34"/>
      <c r="BD32" s="34" t="s">
        <v>223</v>
      </c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3"/>
      <c r="BV32" s="7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9"/>
      <c r="CS32" s="7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9"/>
      <c r="DN32" s="7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9"/>
      <c r="EI32" s="7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9"/>
      <c r="FE32" s="7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9"/>
      <c r="GA32" s="7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9"/>
      <c r="GU32" s="7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9"/>
    </row>
    <row r="33" spans="1:223" x14ac:dyDescent="0.25">
      <c r="A33" s="41">
        <v>31</v>
      </c>
      <c r="B33" s="26" t="s">
        <v>32</v>
      </c>
      <c r="C33" s="26" t="s">
        <v>37</v>
      </c>
      <c r="D33" s="26" t="s">
        <v>250</v>
      </c>
      <c r="E33" s="26">
        <v>0</v>
      </c>
      <c r="F33" s="26">
        <v>3</v>
      </c>
      <c r="G33" s="26">
        <f t="shared" si="0"/>
        <v>-3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8"/>
      <c r="AB33" s="35"/>
      <c r="AC33" s="36"/>
      <c r="AD33" s="35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 t="s">
        <v>218</v>
      </c>
      <c r="AZ33" s="36"/>
      <c r="BA33" s="35"/>
      <c r="BB33" s="37" t="s">
        <v>221</v>
      </c>
      <c r="BC33" s="37"/>
      <c r="BD33" s="37" t="s">
        <v>223</v>
      </c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6"/>
      <c r="BV33" s="10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2"/>
      <c r="CS33" s="10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2"/>
      <c r="DN33" s="10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2"/>
      <c r="EI33" s="10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2"/>
      <c r="FE33" s="10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2"/>
      <c r="GA33" s="10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2"/>
      <c r="GU33" s="10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2"/>
    </row>
    <row r="34" spans="1:223" x14ac:dyDescent="0.25">
      <c r="A34" s="15">
        <v>32</v>
      </c>
      <c r="B34" s="8" t="s">
        <v>33</v>
      </c>
      <c r="C34" s="8" t="s">
        <v>38</v>
      </c>
      <c r="D34" s="8" t="s">
        <v>230</v>
      </c>
      <c r="E34" s="8">
        <v>8</v>
      </c>
      <c r="F34" s="8">
        <v>2</v>
      </c>
      <c r="G34" s="8">
        <f t="shared" si="0"/>
        <v>6</v>
      </c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8"/>
      <c r="AB34" s="32"/>
      <c r="AC34" s="33"/>
      <c r="AD34" s="32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3"/>
      <c r="BA34" s="32"/>
      <c r="BB34" s="34" t="s">
        <v>221</v>
      </c>
      <c r="BC34" s="34"/>
      <c r="BD34" s="34" t="s">
        <v>223</v>
      </c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3"/>
      <c r="BV34" s="7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9"/>
      <c r="CS34" s="7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9"/>
      <c r="DN34" s="7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9"/>
      <c r="EI34" s="7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9"/>
      <c r="FE34" s="7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9"/>
      <c r="GA34" s="7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9"/>
      <c r="GU34" s="7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9"/>
    </row>
    <row r="35" spans="1:223" s="91" customFormat="1" x14ac:dyDescent="0.25">
      <c r="A35" s="39">
        <v>33</v>
      </c>
      <c r="B35" s="38" t="s">
        <v>263</v>
      </c>
      <c r="C35" s="38" t="s">
        <v>38</v>
      </c>
      <c r="D35" s="38" t="s">
        <v>264</v>
      </c>
      <c r="E35" s="38">
        <v>0</v>
      </c>
      <c r="F35" s="38">
        <v>1</v>
      </c>
      <c r="G35" s="38">
        <f t="shared" ref="G35" si="1">E35-F35</f>
        <v>-1</v>
      </c>
      <c r="H35" s="85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6"/>
      <c r="AB35" s="87"/>
      <c r="AC35" s="88"/>
      <c r="AD35" s="87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8"/>
      <c r="BA35" s="87"/>
      <c r="BB35" s="89"/>
      <c r="BC35" s="89"/>
      <c r="BD35" s="89"/>
      <c r="BE35" s="89"/>
      <c r="BF35" s="89" t="s">
        <v>265</v>
      </c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8"/>
      <c r="BV35" s="85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90"/>
      <c r="CS35" s="85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90"/>
      <c r="DN35" s="85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90"/>
      <c r="EI35" s="85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90"/>
      <c r="FE35" s="85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  <c r="FU35" s="84"/>
      <c r="FV35" s="84"/>
      <c r="FW35" s="84"/>
      <c r="FX35" s="84"/>
      <c r="FY35" s="84"/>
      <c r="FZ35" s="90"/>
      <c r="GA35" s="85"/>
      <c r="GB35" s="84"/>
      <c r="GC35" s="84"/>
      <c r="GD35" s="84"/>
      <c r="GE35" s="84"/>
      <c r="GF35" s="84"/>
      <c r="GG35" s="84"/>
      <c r="GH35" s="84"/>
      <c r="GI35" s="84"/>
      <c r="GJ35" s="84"/>
      <c r="GK35" s="84"/>
      <c r="GL35" s="84"/>
      <c r="GM35" s="84"/>
      <c r="GN35" s="84"/>
      <c r="GO35" s="84"/>
      <c r="GP35" s="84"/>
      <c r="GQ35" s="84"/>
      <c r="GR35" s="84"/>
      <c r="GS35" s="84"/>
      <c r="GT35" s="90"/>
      <c r="GU35" s="85"/>
      <c r="GV35" s="84"/>
      <c r="GW35" s="84"/>
      <c r="GX35" s="84"/>
      <c r="GY35" s="84"/>
      <c r="GZ35" s="84"/>
      <c r="HA35" s="84"/>
      <c r="HB35" s="84"/>
      <c r="HC35" s="84"/>
      <c r="HD35" s="84"/>
      <c r="HE35" s="84"/>
      <c r="HF35" s="84"/>
      <c r="HG35" s="84"/>
      <c r="HH35" s="84"/>
      <c r="HI35" s="84"/>
      <c r="HJ35" s="84"/>
      <c r="HK35" s="84"/>
      <c r="HL35" s="84"/>
      <c r="HM35" s="84"/>
      <c r="HN35" s="84"/>
      <c r="HO35" s="90"/>
    </row>
    <row r="36" spans="1:223" s="91" customFormat="1" x14ac:dyDescent="0.25">
      <c r="A36" s="83"/>
      <c r="B36" s="84"/>
      <c r="C36" s="84"/>
      <c r="D36" s="84"/>
      <c r="E36" s="84"/>
      <c r="F36" s="84"/>
      <c r="G36" s="84"/>
      <c r="H36" s="85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6"/>
      <c r="AB36" s="87"/>
      <c r="AC36" s="88"/>
      <c r="AD36" s="87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8"/>
      <c r="BA36" s="87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8"/>
      <c r="BV36" s="85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90"/>
      <c r="CS36" s="85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90"/>
      <c r="DN36" s="85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90"/>
      <c r="EI36" s="85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90"/>
      <c r="FE36" s="85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  <c r="FU36" s="84"/>
      <c r="FV36" s="84"/>
      <c r="FW36" s="84"/>
      <c r="FX36" s="84"/>
      <c r="FY36" s="84"/>
      <c r="FZ36" s="90"/>
      <c r="GA36" s="85"/>
      <c r="GB36" s="84"/>
      <c r="GC36" s="84"/>
      <c r="GD36" s="84"/>
      <c r="GE36" s="84"/>
      <c r="GF36" s="84"/>
      <c r="GG36" s="84"/>
      <c r="GH36" s="84"/>
      <c r="GI36" s="84"/>
      <c r="GJ36" s="84"/>
      <c r="GK36" s="84"/>
      <c r="GL36" s="84"/>
      <c r="GM36" s="84"/>
      <c r="GN36" s="84"/>
      <c r="GO36" s="84"/>
      <c r="GP36" s="84"/>
      <c r="GQ36" s="84"/>
      <c r="GR36" s="84"/>
      <c r="GS36" s="84"/>
      <c r="GT36" s="90"/>
      <c r="GU36" s="85"/>
      <c r="GV36" s="84"/>
      <c r="GW36" s="84"/>
      <c r="GX36" s="84"/>
      <c r="GY36" s="84"/>
      <c r="GZ36" s="84"/>
      <c r="HA36" s="84"/>
      <c r="HB36" s="84"/>
      <c r="HC36" s="84"/>
      <c r="HD36" s="84"/>
      <c r="HE36" s="84"/>
      <c r="HF36" s="84"/>
      <c r="HG36" s="84"/>
      <c r="HH36" s="84"/>
      <c r="HI36" s="84"/>
      <c r="HJ36" s="84"/>
      <c r="HK36" s="84"/>
      <c r="HL36" s="84"/>
      <c r="HM36" s="84"/>
      <c r="HN36" s="84"/>
      <c r="HO36" s="90"/>
    </row>
    <row r="37" spans="1:223" s="91" customFormat="1" x14ac:dyDescent="0.25">
      <c r="A37" s="83"/>
      <c r="B37" s="84"/>
      <c r="C37" s="84"/>
      <c r="D37" s="84"/>
      <c r="E37" s="84"/>
      <c r="F37" s="84"/>
      <c r="G37" s="84"/>
      <c r="H37" s="85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6"/>
      <c r="AB37" s="87"/>
      <c r="AC37" s="88"/>
      <c r="AD37" s="87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8"/>
      <c r="BA37" s="87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8"/>
      <c r="BV37" s="85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90"/>
      <c r="CS37" s="85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90"/>
      <c r="DN37" s="85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90"/>
      <c r="EI37" s="85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90"/>
      <c r="FE37" s="85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84"/>
      <c r="FX37" s="84"/>
      <c r="FY37" s="84"/>
      <c r="FZ37" s="90"/>
      <c r="GA37" s="85"/>
      <c r="GB37" s="84"/>
      <c r="GC37" s="84"/>
      <c r="GD37" s="84"/>
      <c r="GE37" s="84"/>
      <c r="GF37" s="84"/>
      <c r="GG37" s="84"/>
      <c r="GH37" s="84"/>
      <c r="GI37" s="84"/>
      <c r="GJ37" s="84"/>
      <c r="GK37" s="84"/>
      <c r="GL37" s="84"/>
      <c r="GM37" s="84"/>
      <c r="GN37" s="84"/>
      <c r="GO37" s="84"/>
      <c r="GP37" s="84"/>
      <c r="GQ37" s="84"/>
      <c r="GR37" s="84"/>
      <c r="GS37" s="84"/>
      <c r="GT37" s="90"/>
      <c r="GU37" s="85"/>
      <c r="GV37" s="84"/>
      <c r="GW37" s="84"/>
      <c r="GX37" s="84"/>
      <c r="GY37" s="84"/>
      <c r="GZ37" s="84"/>
      <c r="HA37" s="84"/>
      <c r="HB37" s="84"/>
      <c r="HC37" s="84"/>
      <c r="HD37" s="84"/>
      <c r="HE37" s="84"/>
      <c r="HF37" s="84"/>
      <c r="HG37" s="84"/>
      <c r="HH37" s="84"/>
      <c r="HI37" s="84"/>
      <c r="HJ37" s="84"/>
      <c r="HK37" s="84"/>
      <c r="HL37" s="84"/>
      <c r="HM37" s="84"/>
      <c r="HN37" s="84"/>
      <c r="HO37" s="90"/>
    </row>
    <row r="38" spans="1:223" s="91" customFormat="1" x14ac:dyDescent="0.25">
      <c r="A38" s="83"/>
      <c r="B38" s="84"/>
      <c r="C38" s="84"/>
      <c r="D38" s="84"/>
      <c r="E38" s="84"/>
      <c r="F38" s="84"/>
      <c r="G38" s="84"/>
      <c r="H38" s="85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6"/>
      <c r="AB38" s="87"/>
      <c r="AC38" s="88"/>
      <c r="AD38" s="87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8"/>
      <c r="BA38" s="87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8"/>
      <c r="BV38" s="85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90"/>
      <c r="CS38" s="85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90"/>
      <c r="DN38" s="85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90"/>
      <c r="EI38" s="85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90"/>
      <c r="FE38" s="85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  <c r="FU38" s="84"/>
      <c r="FV38" s="84"/>
      <c r="FW38" s="84"/>
      <c r="FX38" s="84"/>
      <c r="FY38" s="84"/>
      <c r="FZ38" s="90"/>
      <c r="GA38" s="85"/>
      <c r="GB38" s="84"/>
      <c r="GC38" s="84"/>
      <c r="GD38" s="84"/>
      <c r="GE38" s="84"/>
      <c r="GF38" s="84"/>
      <c r="GG38" s="84"/>
      <c r="GH38" s="84"/>
      <c r="GI38" s="84"/>
      <c r="GJ38" s="84"/>
      <c r="GK38" s="84"/>
      <c r="GL38" s="84"/>
      <c r="GM38" s="84"/>
      <c r="GN38" s="84"/>
      <c r="GO38" s="84"/>
      <c r="GP38" s="84"/>
      <c r="GQ38" s="84"/>
      <c r="GR38" s="84"/>
      <c r="GS38" s="84"/>
      <c r="GT38" s="90"/>
      <c r="GU38" s="85"/>
      <c r="GV38" s="84"/>
      <c r="GW38" s="84"/>
      <c r="GX38" s="84"/>
      <c r="GY38" s="84"/>
      <c r="GZ38" s="84"/>
      <c r="HA38" s="84"/>
      <c r="HB38" s="84"/>
      <c r="HC38" s="84"/>
      <c r="HD38" s="84"/>
      <c r="HE38" s="84"/>
      <c r="HF38" s="84"/>
      <c r="HG38" s="84"/>
      <c r="HH38" s="84"/>
      <c r="HI38" s="84"/>
      <c r="HJ38" s="84"/>
      <c r="HK38" s="84"/>
      <c r="HL38" s="84"/>
      <c r="HM38" s="84"/>
      <c r="HN38" s="84"/>
      <c r="HO38" s="90"/>
    </row>
    <row r="39" spans="1:223" s="91" customFormat="1" x14ac:dyDescent="0.25">
      <c r="A39" s="83"/>
      <c r="B39" s="84"/>
      <c r="C39" s="84"/>
      <c r="D39" s="84"/>
      <c r="E39" s="84"/>
      <c r="F39" s="84"/>
      <c r="G39" s="84"/>
      <c r="H39" s="85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6"/>
      <c r="AB39" s="87"/>
      <c r="AC39" s="88"/>
      <c r="AD39" s="87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8"/>
      <c r="BA39" s="87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8"/>
      <c r="BV39" s="85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90"/>
      <c r="CS39" s="85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90"/>
      <c r="DN39" s="85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90"/>
      <c r="EI39" s="85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90"/>
      <c r="FE39" s="85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90"/>
      <c r="GA39" s="85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90"/>
      <c r="GU39" s="85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90"/>
    </row>
    <row r="40" spans="1:223" s="91" customFormat="1" x14ac:dyDescent="0.25">
      <c r="A40" s="83"/>
      <c r="B40" s="84"/>
      <c r="C40" s="84"/>
      <c r="D40" s="84"/>
      <c r="E40" s="84"/>
      <c r="F40" s="84"/>
      <c r="G40" s="84"/>
      <c r="H40" s="85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6"/>
      <c r="AB40" s="87"/>
      <c r="AC40" s="88"/>
      <c r="AD40" s="87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8"/>
      <c r="BA40" s="87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8"/>
      <c r="BV40" s="85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90"/>
      <c r="CS40" s="85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90"/>
      <c r="DN40" s="85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90"/>
      <c r="EI40" s="85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90"/>
      <c r="FE40" s="85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84"/>
      <c r="FX40" s="84"/>
      <c r="FY40" s="84"/>
      <c r="FZ40" s="90"/>
      <c r="GA40" s="85"/>
      <c r="GB40" s="84"/>
      <c r="GC40" s="84"/>
      <c r="GD40" s="84"/>
      <c r="GE40" s="84"/>
      <c r="GF40" s="84"/>
      <c r="GG40" s="84"/>
      <c r="GH40" s="84"/>
      <c r="GI40" s="84"/>
      <c r="GJ40" s="84"/>
      <c r="GK40" s="84"/>
      <c r="GL40" s="84"/>
      <c r="GM40" s="84"/>
      <c r="GN40" s="84"/>
      <c r="GO40" s="84"/>
      <c r="GP40" s="84"/>
      <c r="GQ40" s="84"/>
      <c r="GR40" s="84"/>
      <c r="GS40" s="84"/>
      <c r="GT40" s="90"/>
      <c r="GU40" s="85"/>
      <c r="GV40" s="84"/>
      <c r="GW40" s="84"/>
      <c r="GX40" s="84"/>
      <c r="GY40" s="84"/>
      <c r="GZ40" s="84"/>
      <c r="HA40" s="84"/>
      <c r="HB40" s="84"/>
      <c r="HC40" s="84"/>
      <c r="HD40" s="84"/>
      <c r="HE40" s="84"/>
      <c r="HF40" s="84"/>
      <c r="HG40" s="84"/>
      <c r="HH40" s="84"/>
      <c r="HI40" s="84"/>
      <c r="HJ40" s="84"/>
      <c r="HK40" s="84"/>
      <c r="HL40" s="84"/>
      <c r="HM40" s="84"/>
      <c r="HN40" s="84"/>
      <c r="HO40" s="90"/>
    </row>
    <row r="41" spans="1:223" s="91" customFormat="1" x14ac:dyDescent="0.25">
      <c r="A41" s="83"/>
      <c r="B41" s="84"/>
      <c r="C41" s="84"/>
      <c r="D41" s="84"/>
      <c r="E41" s="84"/>
      <c r="F41" s="84"/>
      <c r="G41" s="84"/>
      <c r="H41" s="85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6"/>
      <c r="AB41" s="87"/>
      <c r="AC41" s="88"/>
      <c r="AD41" s="87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8"/>
      <c r="BA41" s="87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8"/>
      <c r="BV41" s="85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90"/>
      <c r="CS41" s="85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90"/>
      <c r="DN41" s="85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90"/>
      <c r="EI41" s="85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90"/>
      <c r="FE41" s="85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84"/>
      <c r="FX41" s="84"/>
      <c r="FY41" s="84"/>
      <c r="FZ41" s="90"/>
      <c r="GA41" s="85"/>
      <c r="GB41" s="84"/>
      <c r="GC41" s="84"/>
      <c r="GD41" s="84"/>
      <c r="GE41" s="84"/>
      <c r="GF41" s="84"/>
      <c r="GG41" s="84"/>
      <c r="GH41" s="84"/>
      <c r="GI41" s="84"/>
      <c r="GJ41" s="84"/>
      <c r="GK41" s="84"/>
      <c r="GL41" s="84"/>
      <c r="GM41" s="84"/>
      <c r="GN41" s="84"/>
      <c r="GO41" s="84"/>
      <c r="GP41" s="84"/>
      <c r="GQ41" s="84"/>
      <c r="GR41" s="84"/>
      <c r="GS41" s="84"/>
      <c r="GT41" s="90"/>
      <c r="GU41" s="85"/>
      <c r="GV41" s="84"/>
      <c r="GW41" s="84"/>
      <c r="GX41" s="84"/>
      <c r="GY41" s="84"/>
      <c r="GZ41" s="84"/>
      <c r="HA41" s="84"/>
      <c r="HB41" s="84"/>
      <c r="HC41" s="84"/>
      <c r="HD41" s="84"/>
      <c r="HE41" s="84"/>
      <c r="HF41" s="84"/>
      <c r="HG41" s="84"/>
      <c r="HH41" s="84"/>
      <c r="HI41" s="84"/>
      <c r="HJ41" s="84"/>
      <c r="HK41" s="84"/>
      <c r="HL41" s="84"/>
      <c r="HM41" s="84"/>
      <c r="HN41" s="84"/>
      <c r="HO41" s="90"/>
    </row>
    <row r="42" spans="1:223" s="91" customFormat="1" x14ac:dyDescent="0.25">
      <c r="A42" s="83"/>
      <c r="B42" s="84"/>
      <c r="C42" s="84"/>
      <c r="D42" s="84"/>
      <c r="E42" s="84"/>
      <c r="F42" s="84"/>
      <c r="G42" s="84"/>
      <c r="H42" s="85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6"/>
      <c r="AB42" s="87"/>
      <c r="AC42" s="88"/>
      <c r="AD42" s="87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8"/>
      <c r="BA42" s="87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8"/>
      <c r="BV42" s="85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90"/>
      <c r="CS42" s="85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90"/>
      <c r="DN42" s="85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90"/>
      <c r="EI42" s="85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90"/>
      <c r="FE42" s="85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90"/>
      <c r="GA42" s="85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90"/>
      <c r="GU42" s="85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90"/>
    </row>
    <row r="43" spans="1:223" s="91" customFormat="1" x14ac:dyDescent="0.25">
      <c r="A43" s="83"/>
      <c r="B43" s="84"/>
      <c r="C43" s="84"/>
      <c r="D43" s="84"/>
      <c r="E43" s="84"/>
      <c r="F43" s="84"/>
      <c r="G43" s="84"/>
      <c r="H43" s="85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6"/>
      <c r="AB43" s="87"/>
      <c r="AC43" s="88"/>
      <c r="AD43" s="87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8"/>
      <c r="BA43" s="87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8"/>
      <c r="BV43" s="85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90"/>
      <c r="CS43" s="85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90"/>
      <c r="DN43" s="85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90"/>
      <c r="EI43" s="85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90"/>
      <c r="FE43" s="85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90"/>
      <c r="GA43" s="85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90"/>
      <c r="GU43" s="85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90"/>
    </row>
    <row r="44" spans="1:223" s="91" customFormat="1" x14ac:dyDescent="0.25">
      <c r="A44" s="83"/>
      <c r="B44" s="84"/>
      <c r="C44" s="84"/>
      <c r="D44" s="84"/>
      <c r="E44" s="84"/>
      <c r="F44" s="84"/>
      <c r="G44" s="84"/>
      <c r="H44" s="85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6"/>
      <c r="AB44" s="87"/>
      <c r="AC44" s="88"/>
      <c r="AD44" s="87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8"/>
      <c r="BA44" s="87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8"/>
      <c r="BV44" s="85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90"/>
      <c r="CS44" s="85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90"/>
      <c r="DN44" s="85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90"/>
      <c r="EI44" s="85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90"/>
      <c r="FE44" s="85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90"/>
      <c r="GA44" s="85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90"/>
      <c r="GU44" s="85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90"/>
    </row>
    <row r="45" spans="1:223" s="91" customFormat="1" x14ac:dyDescent="0.25">
      <c r="A45" s="83"/>
      <c r="B45" s="84"/>
      <c r="C45" s="84"/>
      <c r="D45" s="84"/>
      <c r="E45" s="84"/>
      <c r="F45" s="84"/>
      <c r="G45" s="84"/>
      <c r="H45" s="85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6"/>
      <c r="AB45" s="87"/>
      <c r="AC45" s="88"/>
      <c r="AD45" s="87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8"/>
      <c r="BA45" s="87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8"/>
      <c r="BV45" s="85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90"/>
      <c r="CS45" s="85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90"/>
      <c r="DN45" s="85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90"/>
      <c r="EI45" s="85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90"/>
      <c r="FE45" s="85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90"/>
      <c r="GA45" s="85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90"/>
      <c r="GU45" s="85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90"/>
    </row>
    <row r="46" spans="1:223" s="91" customFormat="1" x14ac:dyDescent="0.25">
      <c r="A46" s="83"/>
      <c r="B46" s="84"/>
      <c r="C46" s="84"/>
      <c r="D46" s="84"/>
      <c r="E46" s="84"/>
      <c r="F46" s="84"/>
      <c r="G46" s="84"/>
      <c r="H46" s="85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6"/>
      <c r="AB46" s="87"/>
      <c r="AC46" s="88"/>
      <c r="AD46" s="87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8"/>
      <c r="BA46" s="87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8"/>
      <c r="BV46" s="85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90"/>
      <c r="CS46" s="85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90"/>
      <c r="DN46" s="85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90"/>
      <c r="EI46" s="85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90"/>
      <c r="FE46" s="85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90"/>
      <c r="GA46" s="85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90"/>
      <c r="GU46" s="85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90"/>
    </row>
    <row r="47" spans="1:223" s="91" customFormat="1" x14ac:dyDescent="0.25">
      <c r="A47" s="83"/>
      <c r="B47" s="84"/>
      <c r="C47" s="84"/>
      <c r="D47" s="84"/>
      <c r="E47" s="84"/>
      <c r="F47" s="84"/>
      <c r="G47" s="84"/>
      <c r="H47" s="85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6"/>
      <c r="AB47" s="87"/>
      <c r="AC47" s="88"/>
      <c r="AD47" s="87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8"/>
      <c r="BA47" s="87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8"/>
      <c r="BV47" s="85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90"/>
      <c r="CS47" s="85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90"/>
      <c r="DN47" s="85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90"/>
      <c r="EI47" s="85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90"/>
      <c r="FE47" s="85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90"/>
      <c r="GA47" s="85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90"/>
      <c r="GU47" s="85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90"/>
    </row>
    <row r="48" spans="1:223" s="91" customFormat="1" x14ac:dyDescent="0.25">
      <c r="A48" s="83"/>
      <c r="B48" s="84"/>
      <c r="C48" s="84"/>
      <c r="D48" s="84"/>
      <c r="E48" s="84"/>
      <c r="F48" s="84"/>
      <c r="G48" s="84"/>
      <c r="H48" s="85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6"/>
      <c r="AB48" s="87"/>
      <c r="AC48" s="88"/>
      <c r="AD48" s="87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8"/>
      <c r="BA48" s="87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8"/>
      <c r="BV48" s="85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90"/>
      <c r="CS48" s="85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90"/>
      <c r="DN48" s="85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90"/>
      <c r="EI48" s="85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90"/>
      <c r="FE48" s="85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90"/>
      <c r="GA48" s="85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90"/>
      <c r="GU48" s="85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90"/>
    </row>
    <row r="49" spans="1:223" s="91" customFormat="1" x14ac:dyDescent="0.25">
      <c r="A49" s="83"/>
      <c r="B49" s="84"/>
      <c r="C49" s="84"/>
      <c r="D49" s="84"/>
      <c r="E49" s="84"/>
      <c r="F49" s="84"/>
      <c r="G49" s="84"/>
      <c r="H49" s="85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6"/>
      <c r="AB49" s="87"/>
      <c r="AC49" s="88"/>
      <c r="AD49" s="87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8"/>
      <c r="BA49" s="87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8"/>
      <c r="BV49" s="85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90"/>
      <c r="CS49" s="85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90"/>
      <c r="DN49" s="85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90"/>
      <c r="EI49" s="85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90"/>
      <c r="FE49" s="85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90"/>
      <c r="GA49" s="85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90"/>
      <c r="GU49" s="85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90"/>
    </row>
    <row r="50" spans="1:223" s="91" customFormat="1" x14ac:dyDescent="0.25">
      <c r="A50" s="83"/>
      <c r="B50" s="84"/>
      <c r="C50" s="84"/>
      <c r="D50" s="84"/>
      <c r="E50" s="84"/>
      <c r="F50" s="84"/>
      <c r="G50" s="84"/>
      <c r="H50" s="85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6"/>
      <c r="AB50" s="87"/>
      <c r="AC50" s="88"/>
      <c r="AD50" s="87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8"/>
      <c r="BA50" s="87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8"/>
      <c r="BV50" s="85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90"/>
      <c r="CS50" s="85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90"/>
      <c r="DN50" s="85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90"/>
      <c r="EI50" s="85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90"/>
      <c r="FE50" s="85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90"/>
      <c r="GA50" s="85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90"/>
      <c r="GU50" s="85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90"/>
    </row>
    <row r="51" spans="1:223" s="91" customFormat="1" x14ac:dyDescent="0.25">
      <c r="A51" s="83"/>
      <c r="B51" s="84"/>
      <c r="C51" s="84"/>
      <c r="D51" s="84"/>
      <c r="E51" s="84"/>
      <c r="F51" s="84"/>
      <c r="G51" s="84"/>
      <c r="H51" s="85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6"/>
      <c r="AB51" s="87"/>
      <c r="AC51" s="88"/>
      <c r="AD51" s="87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8"/>
      <c r="BA51" s="87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8"/>
      <c r="BV51" s="85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90"/>
      <c r="CS51" s="85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90"/>
      <c r="DN51" s="85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90"/>
      <c r="EI51" s="85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90"/>
      <c r="FE51" s="85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90"/>
      <c r="GA51" s="85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90"/>
      <c r="GU51" s="85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90"/>
    </row>
    <row r="52" spans="1:223" x14ac:dyDescent="0.25"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</row>
    <row r="53" spans="1:223" x14ac:dyDescent="0.25"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</row>
    <row r="54" spans="1:223" x14ac:dyDescent="0.25"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</row>
    <row r="55" spans="1:223" x14ac:dyDescent="0.25"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</row>
    <row r="56" spans="1:223" x14ac:dyDescent="0.25"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</row>
    <row r="57" spans="1:223" x14ac:dyDescent="0.25"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</row>
    <row r="58" spans="1:223" x14ac:dyDescent="0.25"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</row>
  </sheetData>
  <autoFilter ref="A2:HO34"/>
  <mergeCells count="10">
    <mergeCell ref="GA1:GT1"/>
    <mergeCell ref="GU1:HO1"/>
    <mergeCell ref="H1:AC1"/>
    <mergeCell ref="A1:G1"/>
    <mergeCell ref="BV1:CR1"/>
    <mergeCell ref="CS1:DM1"/>
    <mergeCell ref="DN1:EH1"/>
    <mergeCell ref="EI1:FD1"/>
    <mergeCell ref="FE1:FZ1"/>
    <mergeCell ref="BA1:BE1"/>
  </mergeCells>
  <dataValidations count="1">
    <dataValidation type="list" allowBlank="1" sqref="H3:BU51 BV3:HO58">
      <formula1>"ح,غ"</formula1>
      <formula2>0</formula2>
    </dataValidation>
  </dataValidations>
  <pageMargins left="0.7" right="0.7" top="0.75" bottom="0.75" header="0.3" footer="0.3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58"/>
  <sheetViews>
    <sheetView rightToLeft="1" workbookViewId="0">
      <selection activeCell="P16" sqref="P16"/>
    </sheetView>
  </sheetViews>
  <sheetFormatPr defaultRowHeight="22.5" x14ac:dyDescent="0.6"/>
  <cols>
    <col min="1" max="1" width="5.7109375" style="3" bestFit="1" customWidth="1"/>
    <col min="2" max="2" width="15" style="3" bestFit="1" customWidth="1"/>
    <col min="3" max="3" width="20" style="3" customWidth="1"/>
    <col min="4" max="4" width="8.42578125" style="3" customWidth="1"/>
    <col min="5" max="24" width="7.7109375" style="3" customWidth="1"/>
    <col min="25" max="174" width="3.7109375" style="1" hidden="1" customWidth="1"/>
    <col min="175" max="16384" width="9.140625" style="3"/>
  </cols>
  <sheetData>
    <row r="1" spans="1:174" ht="26.25" thickBot="1" x14ac:dyDescent="0.3">
      <c r="A1" s="78" t="s">
        <v>227</v>
      </c>
      <c r="B1" s="78"/>
      <c r="C1" s="80"/>
      <c r="D1" s="71" t="s">
        <v>60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3"/>
      <c r="Y1" s="71" t="s">
        <v>61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3"/>
      <c r="AV1" s="71" t="s">
        <v>62</v>
      </c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3"/>
      <c r="BQ1" s="71" t="s">
        <v>63</v>
      </c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3"/>
      <c r="CL1" s="71" t="s">
        <v>64</v>
      </c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3"/>
      <c r="DH1" s="71" t="s">
        <v>65</v>
      </c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3"/>
      <c r="ED1" s="71" t="s">
        <v>66</v>
      </c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3"/>
      <c r="EX1" s="71" t="s">
        <v>67</v>
      </c>
      <c r="EY1" s="72"/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3"/>
    </row>
    <row r="2" spans="1:174" ht="42.75" thickBot="1" x14ac:dyDescent="0.3">
      <c r="A2" s="22" t="s">
        <v>0</v>
      </c>
      <c r="B2" s="23" t="s">
        <v>1</v>
      </c>
      <c r="C2" s="24" t="s">
        <v>36</v>
      </c>
      <c r="D2" s="22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  <c r="J2" s="23" t="s">
        <v>45</v>
      </c>
      <c r="K2" s="23" t="s">
        <v>46</v>
      </c>
      <c r="L2" s="23" t="s">
        <v>47</v>
      </c>
      <c r="M2" s="23" t="s">
        <v>48</v>
      </c>
      <c r="N2" s="23" t="s">
        <v>49</v>
      </c>
      <c r="O2" s="23" t="s">
        <v>50</v>
      </c>
      <c r="P2" s="23" t="s">
        <v>51</v>
      </c>
      <c r="Q2" s="23" t="s">
        <v>52</v>
      </c>
      <c r="R2" s="23" t="s">
        <v>53</v>
      </c>
      <c r="S2" s="23" t="s">
        <v>54</v>
      </c>
      <c r="T2" s="23" t="s">
        <v>55</v>
      </c>
      <c r="U2" s="23" t="s">
        <v>56</v>
      </c>
      <c r="V2" s="23" t="s">
        <v>57</v>
      </c>
      <c r="W2" s="23" t="s">
        <v>58</v>
      </c>
      <c r="X2" s="25" t="s">
        <v>59</v>
      </c>
      <c r="Y2" s="22" t="s">
        <v>68</v>
      </c>
      <c r="Z2" s="23" t="s">
        <v>69</v>
      </c>
      <c r="AA2" s="23" t="s">
        <v>70</v>
      </c>
      <c r="AB2" s="23" t="s">
        <v>71</v>
      </c>
      <c r="AC2" s="23" t="s">
        <v>72</v>
      </c>
      <c r="AD2" s="23" t="s">
        <v>73</v>
      </c>
      <c r="AE2" s="23" t="s">
        <v>74</v>
      </c>
      <c r="AF2" s="23" t="s">
        <v>75</v>
      </c>
      <c r="AG2" s="23" t="s">
        <v>76</v>
      </c>
      <c r="AH2" s="23" t="s">
        <v>77</v>
      </c>
      <c r="AI2" s="23" t="s">
        <v>78</v>
      </c>
      <c r="AJ2" s="23" t="s">
        <v>79</v>
      </c>
      <c r="AK2" s="23" t="s">
        <v>80</v>
      </c>
      <c r="AL2" s="23" t="s">
        <v>81</v>
      </c>
      <c r="AM2" s="23" t="s">
        <v>82</v>
      </c>
      <c r="AN2" s="23" t="s">
        <v>83</v>
      </c>
      <c r="AO2" s="23" t="s">
        <v>84</v>
      </c>
      <c r="AP2" s="23" t="s">
        <v>85</v>
      </c>
      <c r="AQ2" s="23" t="s">
        <v>86</v>
      </c>
      <c r="AR2" s="23" t="s">
        <v>87</v>
      </c>
      <c r="AS2" s="23" t="s">
        <v>88</v>
      </c>
      <c r="AT2" s="23" t="s">
        <v>89</v>
      </c>
      <c r="AU2" s="25" t="s">
        <v>90</v>
      </c>
      <c r="AV2" s="22" t="s">
        <v>91</v>
      </c>
      <c r="AW2" s="23" t="s">
        <v>92</v>
      </c>
      <c r="AX2" s="23" t="s">
        <v>93</v>
      </c>
      <c r="AY2" s="23" t="s">
        <v>94</v>
      </c>
      <c r="AZ2" s="23" t="s">
        <v>95</v>
      </c>
      <c r="BA2" s="23" t="s">
        <v>96</v>
      </c>
      <c r="BB2" s="23" t="s">
        <v>97</v>
      </c>
      <c r="BC2" s="23" t="s">
        <v>98</v>
      </c>
      <c r="BD2" s="23" t="s">
        <v>99</v>
      </c>
      <c r="BE2" s="23" t="s">
        <v>100</v>
      </c>
      <c r="BF2" s="23" t="s">
        <v>101</v>
      </c>
      <c r="BG2" s="23" t="s">
        <v>102</v>
      </c>
      <c r="BH2" s="23" t="s">
        <v>103</v>
      </c>
      <c r="BI2" s="23" t="s">
        <v>104</v>
      </c>
      <c r="BJ2" s="23" t="s">
        <v>105</v>
      </c>
      <c r="BK2" s="23" t="s">
        <v>106</v>
      </c>
      <c r="BL2" s="23" t="s">
        <v>107</v>
      </c>
      <c r="BM2" s="23" t="s">
        <v>108</v>
      </c>
      <c r="BN2" s="23" t="s">
        <v>109</v>
      </c>
      <c r="BO2" s="23" t="s">
        <v>110</v>
      </c>
      <c r="BP2" s="25" t="s">
        <v>111</v>
      </c>
      <c r="BQ2" s="22" t="s">
        <v>112</v>
      </c>
      <c r="BR2" s="23" t="s">
        <v>113</v>
      </c>
      <c r="BS2" s="23" t="s">
        <v>114</v>
      </c>
      <c r="BT2" s="23" t="s">
        <v>115</v>
      </c>
      <c r="BU2" s="23" t="s">
        <v>116</v>
      </c>
      <c r="BV2" s="23" t="s">
        <v>117</v>
      </c>
      <c r="BW2" s="23" t="s">
        <v>118</v>
      </c>
      <c r="BX2" s="23" t="s">
        <v>119</v>
      </c>
      <c r="BY2" s="23" t="s">
        <v>120</v>
      </c>
      <c r="BZ2" s="23" t="s">
        <v>121</v>
      </c>
      <c r="CA2" s="23" t="s">
        <v>122</v>
      </c>
      <c r="CB2" s="23" t="s">
        <v>123</v>
      </c>
      <c r="CC2" s="23" t="s">
        <v>124</v>
      </c>
      <c r="CD2" s="23" t="s">
        <v>125</v>
      </c>
      <c r="CE2" s="23" t="s">
        <v>126</v>
      </c>
      <c r="CF2" s="23" t="s">
        <v>127</v>
      </c>
      <c r="CG2" s="23" t="s">
        <v>128</v>
      </c>
      <c r="CH2" s="23" t="s">
        <v>129</v>
      </c>
      <c r="CI2" s="23" t="s">
        <v>130</v>
      </c>
      <c r="CJ2" s="23" t="s">
        <v>131</v>
      </c>
      <c r="CK2" s="25" t="s">
        <v>132</v>
      </c>
      <c r="CL2" s="22" t="s">
        <v>68</v>
      </c>
      <c r="CM2" s="23" t="s">
        <v>69</v>
      </c>
      <c r="CN2" s="23" t="s">
        <v>70</v>
      </c>
      <c r="CO2" s="23" t="s">
        <v>71</v>
      </c>
      <c r="CP2" s="23" t="s">
        <v>72</v>
      </c>
      <c r="CQ2" s="23" t="s">
        <v>73</v>
      </c>
      <c r="CR2" s="23" t="s">
        <v>74</v>
      </c>
      <c r="CS2" s="23" t="s">
        <v>75</v>
      </c>
      <c r="CT2" s="23" t="s">
        <v>76</v>
      </c>
      <c r="CU2" s="23" t="s">
        <v>77</v>
      </c>
      <c r="CV2" s="23" t="s">
        <v>78</v>
      </c>
      <c r="CW2" s="23" t="s">
        <v>79</v>
      </c>
      <c r="CX2" s="23" t="s">
        <v>80</v>
      </c>
      <c r="CY2" s="23" t="s">
        <v>81</v>
      </c>
      <c r="CZ2" s="23" t="s">
        <v>82</v>
      </c>
      <c r="DA2" s="23" t="s">
        <v>83</v>
      </c>
      <c r="DB2" s="23" t="s">
        <v>84</v>
      </c>
      <c r="DC2" s="23" t="s">
        <v>85</v>
      </c>
      <c r="DD2" s="23" t="s">
        <v>86</v>
      </c>
      <c r="DE2" s="23" t="s">
        <v>87</v>
      </c>
      <c r="DF2" s="23" t="s">
        <v>88</v>
      </c>
      <c r="DG2" s="25" t="s">
        <v>89</v>
      </c>
      <c r="DH2" s="22" t="s">
        <v>133</v>
      </c>
      <c r="DI2" s="23" t="s">
        <v>134</v>
      </c>
      <c r="DJ2" s="23" t="s">
        <v>135</v>
      </c>
      <c r="DK2" s="23" t="s">
        <v>136</v>
      </c>
      <c r="DL2" s="23" t="s">
        <v>137</v>
      </c>
      <c r="DM2" s="23" t="s">
        <v>138</v>
      </c>
      <c r="DN2" s="23" t="s">
        <v>139</v>
      </c>
      <c r="DO2" s="23" t="s">
        <v>140</v>
      </c>
      <c r="DP2" s="23" t="s">
        <v>141</v>
      </c>
      <c r="DQ2" s="23" t="s">
        <v>142</v>
      </c>
      <c r="DR2" s="23" t="s">
        <v>143</v>
      </c>
      <c r="DS2" s="23" t="s">
        <v>144</v>
      </c>
      <c r="DT2" s="23" t="s">
        <v>145</v>
      </c>
      <c r="DU2" s="23" t="s">
        <v>146</v>
      </c>
      <c r="DV2" s="23" t="s">
        <v>147</v>
      </c>
      <c r="DW2" s="23" t="s">
        <v>148</v>
      </c>
      <c r="DX2" s="23" t="s">
        <v>149</v>
      </c>
      <c r="DY2" s="23" t="s">
        <v>150</v>
      </c>
      <c r="DZ2" s="23" t="s">
        <v>151</v>
      </c>
      <c r="EA2" s="23" t="s">
        <v>152</v>
      </c>
      <c r="EB2" s="23" t="s">
        <v>153</v>
      </c>
      <c r="EC2" s="25" t="s">
        <v>154</v>
      </c>
      <c r="ED2" s="22" t="s">
        <v>39</v>
      </c>
      <c r="EE2" s="23" t="s">
        <v>40</v>
      </c>
      <c r="EF2" s="23" t="s">
        <v>41</v>
      </c>
      <c r="EG2" s="23" t="s">
        <v>42</v>
      </c>
      <c r="EH2" s="23" t="s">
        <v>43</v>
      </c>
      <c r="EI2" s="23" t="s">
        <v>44</v>
      </c>
      <c r="EJ2" s="23" t="s">
        <v>45</v>
      </c>
      <c r="EK2" s="23" t="s">
        <v>46</v>
      </c>
      <c r="EL2" s="23" t="s">
        <v>47</v>
      </c>
      <c r="EM2" s="23" t="s">
        <v>48</v>
      </c>
      <c r="EN2" s="23" t="s">
        <v>49</v>
      </c>
      <c r="EO2" s="23" t="s">
        <v>50</v>
      </c>
      <c r="EP2" s="23" t="s">
        <v>51</v>
      </c>
      <c r="EQ2" s="23" t="s">
        <v>52</v>
      </c>
      <c r="ER2" s="23" t="s">
        <v>53</v>
      </c>
      <c r="ES2" s="23" t="s">
        <v>54</v>
      </c>
      <c r="ET2" s="23" t="s">
        <v>55</v>
      </c>
      <c r="EU2" s="23" t="s">
        <v>56</v>
      </c>
      <c r="EV2" s="23" t="s">
        <v>57</v>
      </c>
      <c r="EW2" s="25" t="s">
        <v>58</v>
      </c>
      <c r="EX2" s="22" t="s">
        <v>155</v>
      </c>
      <c r="EY2" s="23" t="s">
        <v>156</v>
      </c>
      <c r="EZ2" s="23" t="s">
        <v>157</v>
      </c>
      <c r="FA2" s="23" t="s">
        <v>158</v>
      </c>
      <c r="FB2" s="23" t="s">
        <v>159</v>
      </c>
      <c r="FC2" s="23" t="s">
        <v>160</v>
      </c>
      <c r="FD2" s="23" t="s">
        <v>161</v>
      </c>
      <c r="FE2" s="23" t="s">
        <v>162</v>
      </c>
      <c r="FF2" s="23" t="s">
        <v>163</v>
      </c>
      <c r="FG2" s="23" t="s">
        <v>164</v>
      </c>
      <c r="FH2" s="23" t="s">
        <v>165</v>
      </c>
      <c r="FI2" s="23" t="s">
        <v>166</v>
      </c>
      <c r="FJ2" s="23" t="s">
        <v>167</v>
      </c>
      <c r="FK2" s="23" t="s">
        <v>168</v>
      </c>
      <c r="FL2" s="23" t="s">
        <v>169</v>
      </c>
      <c r="FM2" s="23" t="s">
        <v>170</v>
      </c>
      <c r="FN2" s="23" t="s">
        <v>171</v>
      </c>
      <c r="FO2" s="23" t="s">
        <v>172</v>
      </c>
      <c r="FP2" s="23" t="s">
        <v>173</v>
      </c>
      <c r="FQ2" s="23" t="s">
        <v>174</v>
      </c>
      <c r="FR2" s="25" t="s">
        <v>175</v>
      </c>
    </row>
    <row r="3" spans="1:174" x14ac:dyDescent="0.25">
      <c r="A3" s="19">
        <v>1</v>
      </c>
      <c r="B3" s="20" t="s">
        <v>2</v>
      </c>
      <c r="C3" s="21"/>
      <c r="D3" s="29"/>
      <c r="E3" s="31">
        <v>4</v>
      </c>
      <c r="F3" s="31"/>
      <c r="G3" s="31">
        <v>6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0"/>
      <c r="Y3" s="4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6"/>
      <c r="AV3" s="4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6"/>
      <c r="BQ3" s="4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6"/>
      <c r="CL3" s="4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6"/>
      <c r="DH3" s="4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6"/>
      <c r="ED3" s="4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6"/>
      <c r="EX3" s="4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6"/>
    </row>
    <row r="4" spans="1:174" x14ac:dyDescent="0.25">
      <c r="A4" s="15">
        <v>2</v>
      </c>
      <c r="B4" s="8" t="s">
        <v>3</v>
      </c>
      <c r="C4" s="18"/>
      <c r="D4" s="32">
        <v>3</v>
      </c>
      <c r="E4" s="34">
        <v>4</v>
      </c>
      <c r="F4" s="34"/>
      <c r="G4" s="34"/>
      <c r="H4" s="34">
        <v>7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3"/>
      <c r="Y4" s="7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9"/>
      <c r="AV4" s="7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9"/>
      <c r="BQ4" s="7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9"/>
      <c r="CL4" s="7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9"/>
      <c r="DH4" s="7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9"/>
      <c r="ED4" s="7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9"/>
      <c r="EX4" s="7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9"/>
    </row>
    <row r="5" spans="1:174" x14ac:dyDescent="0.25">
      <c r="A5" s="13">
        <v>3</v>
      </c>
      <c r="B5" s="14" t="s">
        <v>4</v>
      </c>
      <c r="C5" s="17"/>
      <c r="D5" s="35"/>
      <c r="E5" s="37"/>
      <c r="F5" s="37">
        <v>5</v>
      </c>
      <c r="G5" s="37"/>
      <c r="H5" s="37">
        <v>7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6"/>
      <c r="Y5" s="10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2"/>
      <c r="BQ5" s="10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2"/>
      <c r="CL5" s="10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2"/>
      <c r="DH5" s="10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2"/>
      <c r="ED5" s="10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2"/>
      <c r="EX5" s="10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2"/>
    </row>
    <row r="6" spans="1:174" x14ac:dyDescent="0.25">
      <c r="A6" s="15">
        <v>4</v>
      </c>
      <c r="B6" s="8" t="s">
        <v>5</v>
      </c>
      <c r="C6" s="18"/>
      <c r="D6" s="32">
        <v>3</v>
      </c>
      <c r="E6" s="34"/>
      <c r="F6" s="34">
        <v>5</v>
      </c>
      <c r="G6" s="34"/>
      <c r="H6" s="34">
        <v>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3"/>
      <c r="Y6" s="7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9"/>
      <c r="AV6" s="7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9"/>
      <c r="BQ6" s="7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9"/>
      <c r="CL6" s="7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9"/>
      <c r="DH6" s="7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9"/>
      <c r="ED6" s="7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9"/>
      <c r="EX6" s="7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9"/>
    </row>
    <row r="7" spans="1:174" x14ac:dyDescent="0.25">
      <c r="A7" s="13">
        <v>5</v>
      </c>
      <c r="B7" s="14" t="s">
        <v>6</v>
      </c>
      <c r="C7" s="17"/>
      <c r="D7" s="35"/>
      <c r="E7" s="37">
        <v>4</v>
      </c>
      <c r="F7" s="37"/>
      <c r="G7" s="37">
        <v>6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6"/>
      <c r="Y7" s="10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2"/>
      <c r="AV7" s="10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2"/>
      <c r="BQ7" s="10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2"/>
      <c r="CL7" s="10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2"/>
      <c r="DH7" s="10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2"/>
      <c r="ED7" s="10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2"/>
      <c r="EX7" s="10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2"/>
    </row>
    <row r="8" spans="1:174" x14ac:dyDescent="0.25">
      <c r="A8" s="39">
        <v>6</v>
      </c>
      <c r="B8" s="38" t="s">
        <v>7</v>
      </c>
      <c r="C8" s="40"/>
      <c r="D8" s="32"/>
      <c r="E8" s="34">
        <v>4</v>
      </c>
      <c r="F8" s="34"/>
      <c r="G8" s="34">
        <v>6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3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9"/>
      <c r="AV8" s="7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9"/>
      <c r="BQ8" s="7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9"/>
      <c r="CL8" s="7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9"/>
      <c r="DH8" s="7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9"/>
      <c r="ED8" s="7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9"/>
      <c r="EX8" s="7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9"/>
    </row>
    <row r="9" spans="1:174" x14ac:dyDescent="0.25">
      <c r="A9" s="13">
        <v>7</v>
      </c>
      <c r="B9" s="14" t="s">
        <v>8</v>
      </c>
      <c r="C9" s="17"/>
      <c r="D9" s="35"/>
      <c r="E9" s="37">
        <v>4</v>
      </c>
      <c r="F9" s="37"/>
      <c r="G9" s="37">
        <v>6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6"/>
      <c r="Y9" s="10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2"/>
      <c r="AV9" s="10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2"/>
      <c r="BQ9" s="10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2"/>
      <c r="CL9" s="10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2"/>
      <c r="DH9" s="10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2"/>
      <c r="ED9" s="10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2"/>
      <c r="EX9" s="10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2"/>
    </row>
    <row r="10" spans="1:174" x14ac:dyDescent="0.25">
      <c r="A10" s="15">
        <v>8</v>
      </c>
      <c r="B10" s="8" t="s">
        <v>9</v>
      </c>
      <c r="C10" s="18"/>
      <c r="D10" s="32"/>
      <c r="E10" s="34">
        <v>4</v>
      </c>
      <c r="F10" s="34"/>
      <c r="G10" s="34">
        <v>6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3"/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9"/>
      <c r="AV10" s="7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9"/>
      <c r="BQ10" s="7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9"/>
      <c r="CL10" s="7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9"/>
      <c r="DH10" s="7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9"/>
      <c r="ED10" s="7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9"/>
      <c r="EX10" s="7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9"/>
    </row>
    <row r="11" spans="1:174" x14ac:dyDescent="0.25">
      <c r="A11" s="41">
        <v>9</v>
      </c>
      <c r="B11" s="26" t="s">
        <v>10</v>
      </c>
      <c r="C11" s="42"/>
      <c r="D11" s="35"/>
      <c r="E11" s="37">
        <v>4</v>
      </c>
      <c r="F11" s="37"/>
      <c r="G11" s="37">
        <v>6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6"/>
      <c r="Y11" s="10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2"/>
      <c r="AV11" s="10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2"/>
      <c r="BQ11" s="10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2"/>
      <c r="CL11" s="10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2"/>
      <c r="DH11" s="10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2"/>
      <c r="ED11" s="10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2"/>
      <c r="EX11" s="10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2"/>
    </row>
    <row r="12" spans="1:174" x14ac:dyDescent="0.25">
      <c r="A12" s="39">
        <v>10</v>
      </c>
      <c r="B12" s="38" t="s">
        <v>11</v>
      </c>
      <c r="C12" s="40"/>
      <c r="D12" s="32"/>
      <c r="E12" s="34">
        <v>4</v>
      </c>
      <c r="F12" s="34"/>
      <c r="G12" s="34">
        <v>6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3"/>
      <c r="Y12" s="7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9"/>
      <c r="AV12" s="7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9"/>
      <c r="BQ12" s="7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9"/>
      <c r="CL12" s="7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9"/>
      <c r="DH12" s="7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9"/>
      <c r="ED12" s="7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9"/>
      <c r="EX12" s="7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9"/>
    </row>
    <row r="13" spans="1:174" x14ac:dyDescent="0.25">
      <c r="A13" s="41">
        <v>11</v>
      </c>
      <c r="B13" s="26" t="s">
        <v>12</v>
      </c>
      <c r="C13" s="42"/>
      <c r="D13" s="35"/>
      <c r="E13" s="37">
        <v>4</v>
      </c>
      <c r="F13" s="37"/>
      <c r="G13" s="37">
        <v>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6"/>
      <c r="Y13" s="10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2"/>
      <c r="AV13" s="10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2"/>
      <c r="BQ13" s="10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2"/>
      <c r="CL13" s="10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2"/>
      <c r="DH13" s="10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2"/>
      <c r="ED13" s="10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2"/>
      <c r="EX13" s="10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</row>
    <row r="14" spans="1:174" x14ac:dyDescent="0.25">
      <c r="A14" s="15">
        <v>12</v>
      </c>
      <c r="B14" s="8" t="s">
        <v>13</v>
      </c>
      <c r="C14" s="18"/>
      <c r="D14" s="32">
        <v>3</v>
      </c>
      <c r="E14" s="34"/>
      <c r="F14" s="34">
        <v>5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3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9"/>
      <c r="AV14" s="7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9"/>
      <c r="BQ14" s="7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9"/>
      <c r="CL14" s="7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9"/>
      <c r="DH14" s="7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9"/>
      <c r="ED14" s="7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9"/>
      <c r="EX14" s="7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9"/>
    </row>
    <row r="15" spans="1:174" x14ac:dyDescent="0.25">
      <c r="A15" s="41">
        <v>13</v>
      </c>
      <c r="B15" s="26" t="s">
        <v>14</v>
      </c>
      <c r="C15" s="42"/>
      <c r="D15" s="35"/>
      <c r="E15" s="37">
        <v>4</v>
      </c>
      <c r="F15" s="37"/>
      <c r="G15" s="37">
        <v>6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6"/>
      <c r="Y15" s="10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2"/>
      <c r="AV15" s="10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2"/>
      <c r="BQ15" s="10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2"/>
      <c r="CL15" s="10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2"/>
      <c r="DH15" s="10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2"/>
      <c r="ED15" s="10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2"/>
      <c r="EX15" s="10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2"/>
    </row>
    <row r="16" spans="1:174" x14ac:dyDescent="0.25">
      <c r="A16" s="39">
        <v>14</v>
      </c>
      <c r="B16" s="38" t="s">
        <v>15</v>
      </c>
      <c r="C16" s="40"/>
      <c r="D16" s="32">
        <v>3</v>
      </c>
      <c r="E16" s="34"/>
      <c r="F16" s="34">
        <v>5</v>
      </c>
      <c r="G16" s="34"/>
      <c r="H16" s="34">
        <v>7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3"/>
      <c r="Y16" s="7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9"/>
      <c r="AV16" s="7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9"/>
      <c r="BQ16" s="7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9"/>
      <c r="CL16" s="7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9"/>
      <c r="DH16" s="7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9"/>
      <c r="ED16" s="7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9"/>
      <c r="EX16" s="7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9"/>
    </row>
    <row r="17" spans="1:174" x14ac:dyDescent="0.25">
      <c r="A17" s="13">
        <v>15</v>
      </c>
      <c r="B17" s="14" t="s">
        <v>16</v>
      </c>
      <c r="C17" s="17"/>
      <c r="D17" s="35"/>
      <c r="E17" s="37">
        <v>4</v>
      </c>
      <c r="F17" s="37"/>
      <c r="G17" s="37">
        <v>6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6"/>
      <c r="Y17" s="10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2"/>
      <c r="AV17" s="10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2"/>
      <c r="BQ17" s="10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2"/>
      <c r="CL17" s="10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2"/>
      <c r="DH17" s="10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2"/>
      <c r="ED17" s="10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2"/>
      <c r="EX17" s="10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2"/>
    </row>
    <row r="18" spans="1:174" x14ac:dyDescent="0.25">
      <c r="A18" s="15">
        <v>16</v>
      </c>
      <c r="B18" s="8" t="s">
        <v>17</v>
      </c>
      <c r="C18" s="18"/>
      <c r="D18" s="32"/>
      <c r="E18" s="34">
        <v>4</v>
      </c>
      <c r="F18" s="34"/>
      <c r="G18" s="34">
        <v>6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3"/>
      <c r="Y18" s="7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9"/>
      <c r="AV18" s="7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9"/>
      <c r="BQ18" s="7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9"/>
      <c r="CL18" s="7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9"/>
      <c r="DH18" s="7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9"/>
      <c r="ED18" s="7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9"/>
      <c r="EX18" s="7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9"/>
    </row>
    <row r="19" spans="1:174" x14ac:dyDescent="0.25">
      <c r="A19" s="41">
        <v>17</v>
      </c>
      <c r="B19" s="26" t="s">
        <v>18</v>
      </c>
      <c r="C19" s="42"/>
      <c r="D19" s="35"/>
      <c r="E19" s="37">
        <v>4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6"/>
      <c r="Y19" s="10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2"/>
      <c r="AV19" s="10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2"/>
      <c r="BQ19" s="10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2"/>
      <c r="CL19" s="10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2"/>
      <c r="DH19" s="10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2"/>
      <c r="ED19" s="10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2"/>
      <c r="EX19" s="10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2"/>
    </row>
    <row r="20" spans="1:174" x14ac:dyDescent="0.25">
      <c r="A20" s="15">
        <v>18</v>
      </c>
      <c r="B20" s="8" t="s">
        <v>19</v>
      </c>
      <c r="C20" s="18"/>
      <c r="D20" s="32">
        <v>3</v>
      </c>
      <c r="E20" s="34"/>
      <c r="F20" s="34"/>
      <c r="G20" s="34"/>
      <c r="H20" s="34">
        <v>7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3"/>
      <c r="Y20" s="7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9"/>
      <c r="AV20" s="7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9"/>
      <c r="BQ20" s="7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9"/>
      <c r="CL20" s="7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9"/>
      <c r="DH20" s="7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9"/>
      <c r="ED20" s="7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9"/>
      <c r="EX20" s="7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9"/>
    </row>
    <row r="21" spans="1:174" x14ac:dyDescent="0.25">
      <c r="A21" s="13">
        <v>19</v>
      </c>
      <c r="B21" s="14" t="s">
        <v>20</v>
      </c>
      <c r="C21" s="17"/>
      <c r="D21" s="35"/>
      <c r="E21" s="37">
        <v>4</v>
      </c>
      <c r="F21" s="37"/>
      <c r="G21" s="37">
        <v>6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6"/>
      <c r="Y21" s="10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2"/>
      <c r="AV21" s="10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2"/>
      <c r="BQ21" s="10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2"/>
      <c r="CL21" s="10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2"/>
      <c r="DH21" s="10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2"/>
      <c r="ED21" s="10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2"/>
      <c r="EX21" s="10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2"/>
    </row>
    <row r="22" spans="1:174" x14ac:dyDescent="0.25">
      <c r="A22" s="15">
        <v>20</v>
      </c>
      <c r="B22" s="8" t="s">
        <v>21</v>
      </c>
      <c r="C22" s="18"/>
      <c r="D22" s="32"/>
      <c r="E22" s="34"/>
      <c r="F22" s="34">
        <v>5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3"/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9"/>
      <c r="AV22" s="7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9"/>
      <c r="BQ22" s="7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9"/>
      <c r="CL22" s="7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9"/>
      <c r="DH22" s="7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9"/>
      <c r="ED22" s="7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9"/>
      <c r="EX22" s="7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9"/>
    </row>
    <row r="23" spans="1:174" x14ac:dyDescent="0.25">
      <c r="A23" s="41">
        <v>21</v>
      </c>
      <c r="B23" s="26" t="s">
        <v>22</v>
      </c>
      <c r="C23" s="42"/>
      <c r="D23" s="35"/>
      <c r="E23" s="37"/>
      <c r="F23" s="37">
        <v>5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6"/>
      <c r="Y23" s="10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2"/>
      <c r="AV23" s="10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2"/>
      <c r="BQ23" s="10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2"/>
      <c r="CL23" s="10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2"/>
      <c r="DH23" s="10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2"/>
      <c r="ED23" s="10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2"/>
      <c r="EX23" s="10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2"/>
    </row>
    <row r="24" spans="1:174" x14ac:dyDescent="0.25">
      <c r="A24" s="15">
        <v>22</v>
      </c>
      <c r="B24" s="8" t="s">
        <v>23</v>
      </c>
      <c r="C24" s="18"/>
      <c r="D24" s="32"/>
      <c r="E24" s="34">
        <v>4</v>
      </c>
      <c r="F24" s="34"/>
      <c r="G24" s="34">
        <v>6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3"/>
      <c r="Y24" s="7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9"/>
      <c r="AV24" s="7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9"/>
      <c r="BQ24" s="7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9"/>
      <c r="CL24" s="7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9"/>
      <c r="DH24" s="7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9"/>
      <c r="ED24" s="7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9"/>
      <c r="EX24" s="7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9"/>
    </row>
    <row r="25" spans="1:174" x14ac:dyDescent="0.25">
      <c r="A25" s="13">
        <v>23</v>
      </c>
      <c r="B25" s="14" t="s">
        <v>24</v>
      </c>
      <c r="C25" s="17"/>
      <c r="D25" s="35">
        <v>3</v>
      </c>
      <c r="E25" s="37"/>
      <c r="F25" s="37">
        <v>5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6"/>
      <c r="Y25" s="10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2"/>
      <c r="AV25" s="10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2"/>
      <c r="BQ25" s="10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2"/>
      <c r="CL25" s="10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2"/>
      <c r="DH25" s="10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2"/>
      <c r="ED25" s="10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2"/>
      <c r="EX25" s="10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2"/>
    </row>
    <row r="26" spans="1:174" x14ac:dyDescent="0.25">
      <c r="A26" s="15">
        <v>24</v>
      </c>
      <c r="B26" s="8" t="s">
        <v>25</v>
      </c>
      <c r="C26" s="18"/>
      <c r="D26" s="32">
        <v>3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3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9"/>
      <c r="AV26" s="7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9"/>
      <c r="BQ26" s="7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9"/>
      <c r="CL26" s="7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9"/>
      <c r="DH26" s="7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9"/>
      <c r="ED26" s="7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9"/>
      <c r="EX26" s="7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9"/>
    </row>
    <row r="27" spans="1:174" x14ac:dyDescent="0.25">
      <c r="A27" s="41">
        <v>25</v>
      </c>
      <c r="B27" s="26" t="s">
        <v>26</v>
      </c>
      <c r="C27" s="42"/>
      <c r="D27" s="35"/>
      <c r="E27" s="37">
        <v>4</v>
      </c>
      <c r="F27" s="37"/>
      <c r="G27" s="37">
        <v>6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6"/>
      <c r="Y27" s="10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2"/>
      <c r="AV27" s="10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2"/>
      <c r="BQ27" s="10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2"/>
      <c r="CL27" s="10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2"/>
      <c r="DH27" s="10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2"/>
      <c r="ED27" s="10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2"/>
      <c r="EX27" s="10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2"/>
    </row>
    <row r="28" spans="1:174" x14ac:dyDescent="0.25">
      <c r="A28" s="39">
        <v>26</v>
      </c>
      <c r="B28" s="38" t="s">
        <v>27</v>
      </c>
      <c r="C28" s="40"/>
      <c r="D28" s="32"/>
      <c r="E28" s="34">
        <v>4</v>
      </c>
      <c r="F28" s="34"/>
      <c r="G28" s="34">
        <v>6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3"/>
      <c r="Y28" s="7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9"/>
      <c r="AV28" s="7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9"/>
      <c r="BQ28" s="7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9"/>
      <c r="CL28" s="7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9"/>
      <c r="DH28" s="7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9"/>
      <c r="ED28" s="7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9"/>
      <c r="EX28" s="7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9"/>
    </row>
    <row r="29" spans="1:174" x14ac:dyDescent="0.25">
      <c r="A29" s="41">
        <v>27</v>
      </c>
      <c r="B29" s="26" t="s">
        <v>28</v>
      </c>
      <c r="C29" s="42"/>
      <c r="D29" s="35">
        <v>3</v>
      </c>
      <c r="E29" s="37"/>
      <c r="F29" s="37">
        <v>5</v>
      </c>
      <c r="G29" s="37"/>
      <c r="H29" s="37">
        <v>7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6"/>
      <c r="Y29" s="10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2"/>
      <c r="AV29" s="10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2"/>
      <c r="BQ29" s="10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2"/>
      <c r="CL29" s="10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2"/>
      <c r="DH29" s="10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2"/>
      <c r="ED29" s="10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2"/>
      <c r="EX29" s="10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2"/>
    </row>
    <row r="30" spans="1:174" x14ac:dyDescent="0.25">
      <c r="A30" s="39">
        <v>28</v>
      </c>
      <c r="B30" s="38" t="s">
        <v>29</v>
      </c>
      <c r="C30" s="40"/>
      <c r="D30" s="32">
        <v>3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3"/>
      <c r="Y30" s="7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9"/>
      <c r="AV30" s="7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9"/>
      <c r="BQ30" s="7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9"/>
      <c r="CL30" s="7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9"/>
      <c r="DH30" s="7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9"/>
      <c r="ED30" s="7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9"/>
      <c r="EX30" s="7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9"/>
    </row>
    <row r="31" spans="1:174" x14ac:dyDescent="0.25">
      <c r="A31" s="41">
        <v>29</v>
      </c>
      <c r="B31" s="26" t="s">
        <v>30</v>
      </c>
      <c r="C31" s="42"/>
      <c r="D31" s="35"/>
      <c r="E31" s="37"/>
      <c r="F31" s="37">
        <v>5</v>
      </c>
      <c r="G31" s="37">
        <v>6</v>
      </c>
      <c r="H31" s="37">
        <v>7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6"/>
      <c r="Y31" s="10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2"/>
      <c r="AV31" s="10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2"/>
      <c r="BQ31" s="10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2"/>
      <c r="CL31" s="10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2"/>
      <c r="DH31" s="10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2"/>
      <c r="ED31" s="10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2"/>
      <c r="EX31" s="10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2"/>
    </row>
    <row r="32" spans="1:174" x14ac:dyDescent="0.25">
      <c r="A32" s="15">
        <v>30</v>
      </c>
      <c r="B32" s="8" t="s">
        <v>31</v>
      </c>
      <c r="C32" s="18"/>
      <c r="D32" s="32"/>
      <c r="E32" s="34">
        <v>4</v>
      </c>
      <c r="F32" s="34"/>
      <c r="G32" s="34">
        <v>6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3"/>
      <c r="Y32" s="7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9"/>
      <c r="AV32" s="7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9"/>
      <c r="BQ32" s="7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9"/>
      <c r="CL32" s="7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9"/>
      <c r="DH32" s="7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9"/>
      <c r="ED32" s="7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9"/>
      <c r="EX32" s="7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9"/>
    </row>
    <row r="33" spans="1:174" x14ac:dyDescent="0.25">
      <c r="A33" s="41">
        <v>31</v>
      </c>
      <c r="B33" s="26" t="s">
        <v>32</v>
      </c>
      <c r="C33" s="42"/>
      <c r="D33" s="35"/>
      <c r="E33" s="37">
        <v>4</v>
      </c>
      <c r="F33" s="37"/>
      <c r="G33" s="37">
        <v>6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6"/>
      <c r="Y33" s="10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2"/>
      <c r="AV33" s="10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2"/>
      <c r="BQ33" s="10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2"/>
      <c r="CL33" s="10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2"/>
      <c r="DH33" s="10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2"/>
      <c r="ED33" s="10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2"/>
      <c r="EX33" s="10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2"/>
    </row>
    <row r="34" spans="1:174" x14ac:dyDescent="0.25">
      <c r="A34" s="15">
        <v>32</v>
      </c>
      <c r="B34" s="8" t="s">
        <v>33</v>
      </c>
      <c r="C34" s="18"/>
      <c r="D34" s="32"/>
      <c r="E34" s="34">
        <v>4</v>
      </c>
      <c r="F34" s="34"/>
      <c r="G34" s="34">
        <v>6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3"/>
      <c r="Y34" s="7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9"/>
      <c r="AV34" s="7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9"/>
      <c r="CL34" s="7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9"/>
      <c r="DH34" s="7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9"/>
      <c r="ED34" s="7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9"/>
      <c r="EX34" s="7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9"/>
    </row>
    <row r="35" spans="1:174" x14ac:dyDescent="0.25"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</row>
    <row r="36" spans="1:174" x14ac:dyDescent="0.25"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</row>
    <row r="37" spans="1:174" x14ac:dyDescent="0.25"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</row>
    <row r="38" spans="1:174" x14ac:dyDescent="0.25"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</row>
    <row r="39" spans="1:174" x14ac:dyDescent="0.25"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</row>
    <row r="40" spans="1:174" x14ac:dyDescent="0.25"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</row>
    <row r="41" spans="1:174" x14ac:dyDescent="0.25"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</row>
    <row r="42" spans="1:174" x14ac:dyDescent="0.25"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</row>
    <row r="43" spans="1:174" x14ac:dyDescent="0.25"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</row>
    <row r="44" spans="1:174" x14ac:dyDescent="0.25"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</row>
    <row r="45" spans="1:174" x14ac:dyDescent="0.25"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</row>
    <row r="46" spans="1:174" x14ac:dyDescent="0.25"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</row>
    <row r="47" spans="1:174" x14ac:dyDescent="0.25"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</row>
    <row r="48" spans="1:174" x14ac:dyDescent="0.25"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</row>
    <row r="49" spans="25:174" x14ac:dyDescent="0.25"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</row>
    <row r="50" spans="25:174" x14ac:dyDescent="0.25"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</row>
    <row r="51" spans="25:174" x14ac:dyDescent="0.25"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</row>
    <row r="52" spans="25:174" x14ac:dyDescent="0.25"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</row>
    <row r="53" spans="25:174" x14ac:dyDescent="0.25"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</row>
    <row r="54" spans="25:174" x14ac:dyDescent="0.25"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</row>
    <row r="55" spans="25:174" x14ac:dyDescent="0.25"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</row>
    <row r="56" spans="25:174" x14ac:dyDescent="0.25"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</row>
    <row r="57" spans="25:174" x14ac:dyDescent="0.25"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</row>
    <row r="58" spans="25:174" x14ac:dyDescent="0.25"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</row>
  </sheetData>
  <autoFilter ref="A2:FR34"/>
  <mergeCells count="9">
    <mergeCell ref="CL1:DG1"/>
    <mergeCell ref="DH1:EC1"/>
    <mergeCell ref="ED1:EW1"/>
    <mergeCell ref="EX1:FR1"/>
    <mergeCell ref="A1:C1"/>
    <mergeCell ref="D1:X1"/>
    <mergeCell ref="Y1:AU1"/>
    <mergeCell ref="AV1:BP1"/>
    <mergeCell ref="BQ1:CK1"/>
  </mergeCells>
  <dataValidations count="1">
    <dataValidation type="list" allowBlank="1" sqref="Y3:FR58 D3:X34">
      <formula1>"ح,غ"</formula1>
      <formula2>0</formula2>
    </dataValidation>
  </dataValidation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rightToLeft="1" zoomScale="110" zoomScaleNormal="110" workbookViewId="0">
      <selection activeCell="G4" sqref="G4"/>
    </sheetView>
  </sheetViews>
  <sheetFormatPr defaultRowHeight="21" x14ac:dyDescent="0.25"/>
  <cols>
    <col min="1" max="1" width="5.140625" style="2" bestFit="1" customWidth="1"/>
    <col min="2" max="2" width="18.5703125" style="2" bestFit="1" customWidth="1"/>
    <col min="3" max="3" width="17.5703125" style="2" bestFit="1" customWidth="1"/>
    <col min="4" max="5" width="16.140625" style="2" bestFit="1" customWidth="1"/>
    <col min="6" max="16384" width="9.140625" style="2"/>
  </cols>
  <sheetData>
    <row r="1" spans="1:6" ht="28.5" x14ac:dyDescent="0.25">
      <c r="A1" s="82" t="s">
        <v>234</v>
      </c>
      <c r="B1" s="82"/>
      <c r="C1" s="82"/>
      <c r="D1" s="82"/>
      <c r="E1" s="82"/>
      <c r="F1" s="82"/>
    </row>
    <row r="2" spans="1:6" ht="127.5" customHeight="1" thickBot="1" x14ac:dyDescent="0.3">
      <c r="A2" s="81" t="s">
        <v>241</v>
      </c>
      <c r="B2" s="81"/>
      <c r="C2" s="81"/>
      <c r="D2" s="81"/>
      <c r="E2" s="81"/>
      <c r="F2" s="81"/>
    </row>
    <row r="3" spans="1:6" ht="22.5" x14ac:dyDescent="0.25">
      <c r="B3" s="43" t="s">
        <v>228</v>
      </c>
      <c r="C3" s="44" t="s">
        <v>34</v>
      </c>
      <c r="D3" s="44" t="s">
        <v>239</v>
      </c>
      <c r="E3" s="45" t="s">
        <v>229</v>
      </c>
    </row>
    <row r="4" spans="1:6" ht="23.25" thickBot="1" x14ac:dyDescent="0.3">
      <c r="B4" s="46" t="s">
        <v>236</v>
      </c>
      <c r="C4" s="47">
        <v>8</v>
      </c>
      <c r="D4" s="47" t="s">
        <v>230</v>
      </c>
      <c r="E4" s="48" t="s">
        <v>231</v>
      </c>
    </row>
    <row r="5" spans="1:6" x14ac:dyDescent="0.25">
      <c r="B5" s="2" t="s">
        <v>235</v>
      </c>
      <c r="C5" s="2">
        <f>COUNT(C7:C14)</f>
        <v>2</v>
      </c>
    </row>
    <row r="6" spans="1:6" x14ac:dyDescent="0.25">
      <c r="B6" s="2" t="s">
        <v>232</v>
      </c>
      <c r="C6" s="2">
        <f>C4-C5</f>
        <v>6</v>
      </c>
    </row>
    <row r="7" spans="1:6" x14ac:dyDescent="0.25">
      <c r="A7" s="49">
        <v>1</v>
      </c>
      <c r="B7" s="50" t="s">
        <v>230</v>
      </c>
      <c r="C7" s="50">
        <v>1</v>
      </c>
      <c r="D7" s="51"/>
      <c r="E7" s="58"/>
    </row>
    <row r="8" spans="1:6" x14ac:dyDescent="0.25">
      <c r="A8" s="52">
        <v>2</v>
      </c>
      <c r="B8" s="53" t="s">
        <v>233</v>
      </c>
      <c r="C8" s="53">
        <v>2</v>
      </c>
      <c r="D8" s="54"/>
      <c r="E8" s="58"/>
    </row>
    <row r="9" spans="1:6" x14ac:dyDescent="0.25">
      <c r="A9" s="52">
        <v>3</v>
      </c>
      <c r="B9" s="53"/>
      <c r="C9" s="53"/>
      <c r="D9" s="54"/>
      <c r="E9" s="58"/>
    </row>
    <row r="10" spans="1:6" x14ac:dyDescent="0.25">
      <c r="A10" s="52">
        <v>4</v>
      </c>
      <c r="B10" s="53"/>
      <c r="C10" s="53"/>
      <c r="D10" s="54"/>
      <c r="E10" s="58"/>
    </row>
    <row r="11" spans="1:6" x14ac:dyDescent="0.25">
      <c r="A11" s="52">
        <v>5</v>
      </c>
      <c r="B11" s="53"/>
      <c r="C11" s="53"/>
      <c r="D11" s="54"/>
      <c r="E11" s="58"/>
    </row>
    <row r="12" spans="1:6" x14ac:dyDescent="0.25">
      <c r="A12" s="52">
        <v>6</v>
      </c>
      <c r="B12" s="53"/>
      <c r="C12" s="53"/>
      <c r="D12" s="54"/>
      <c r="E12" s="58"/>
    </row>
    <row r="13" spans="1:6" x14ac:dyDescent="0.25">
      <c r="A13" s="52">
        <v>7</v>
      </c>
      <c r="B13" s="53"/>
      <c r="C13" s="53"/>
      <c r="D13" s="54"/>
      <c r="E13" s="58"/>
    </row>
    <row r="14" spans="1:6" x14ac:dyDescent="0.25">
      <c r="A14" s="55">
        <v>8</v>
      </c>
      <c r="B14" s="56"/>
      <c r="C14" s="56"/>
      <c r="D14" s="57"/>
      <c r="E14" s="58"/>
    </row>
  </sheetData>
  <mergeCells count="2">
    <mergeCell ref="A2:F2"/>
    <mergeCell ref="A1:F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rightToLeft="1" zoomScale="110" zoomScaleNormal="110" workbookViewId="0">
      <selection activeCell="E4" sqref="E4"/>
    </sheetView>
  </sheetViews>
  <sheetFormatPr defaultRowHeight="21" x14ac:dyDescent="0.25"/>
  <cols>
    <col min="1" max="1" width="5.140625" style="2" bestFit="1" customWidth="1"/>
    <col min="2" max="2" width="18.5703125" style="2" bestFit="1" customWidth="1"/>
    <col min="3" max="3" width="17.5703125" style="2" bestFit="1" customWidth="1"/>
    <col min="4" max="5" width="16.140625" style="2" bestFit="1" customWidth="1"/>
    <col min="6" max="16384" width="9.140625" style="2"/>
  </cols>
  <sheetData>
    <row r="1" spans="1:6" ht="28.5" x14ac:dyDescent="0.25">
      <c r="A1" s="82" t="s">
        <v>242</v>
      </c>
      <c r="B1" s="82"/>
      <c r="C1" s="82"/>
      <c r="D1" s="82"/>
      <c r="E1" s="82"/>
      <c r="F1" s="82"/>
    </row>
    <row r="2" spans="1:6" ht="127.5" customHeight="1" thickBot="1" x14ac:dyDescent="0.3">
      <c r="A2" s="81" t="s">
        <v>241</v>
      </c>
      <c r="B2" s="81"/>
      <c r="C2" s="81"/>
      <c r="D2" s="81"/>
      <c r="E2" s="81"/>
      <c r="F2" s="81"/>
    </row>
    <row r="3" spans="1:6" ht="22.5" x14ac:dyDescent="0.25">
      <c r="B3" s="43" t="s">
        <v>228</v>
      </c>
      <c r="C3" s="44" t="s">
        <v>34</v>
      </c>
      <c r="D3" s="44" t="s">
        <v>239</v>
      </c>
      <c r="E3" s="45" t="s">
        <v>229</v>
      </c>
    </row>
    <row r="4" spans="1:6" ht="23.25" thickBot="1" x14ac:dyDescent="0.3">
      <c r="B4" s="46" t="s">
        <v>236</v>
      </c>
      <c r="C4" s="47">
        <v>12</v>
      </c>
      <c r="D4" s="47" t="s">
        <v>236</v>
      </c>
      <c r="E4" s="48" t="s">
        <v>237</v>
      </c>
    </row>
    <row r="5" spans="1:6" x14ac:dyDescent="0.25">
      <c r="B5" s="2" t="s">
        <v>235</v>
      </c>
      <c r="C5" s="2">
        <f>COUNT(C7:C18)</f>
        <v>3</v>
      </c>
    </row>
    <row r="6" spans="1:6" x14ac:dyDescent="0.25">
      <c r="B6" s="2" t="s">
        <v>232</v>
      </c>
      <c r="C6" s="2">
        <f>C4-C5</f>
        <v>9</v>
      </c>
    </row>
    <row r="7" spans="1:6" x14ac:dyDescent="0.25">
      <c r="A7" s="49">
        <v>1</v>
      </c>
      <c r="B7" s="50" t="s">
        <v>236</v>
      </c>
      <c r="C7" s="50">
        <v>1</v>
      </c>
      <c r="D7" s="51"/>
      <c r="E7" s="58"/>
    </row>
    <row r="8" spans="1:6" x14ac:dyDescent="0.25">
      <c r="A8" s="52">
        <v>2</v>
      </c>
      <c r="B8" s="53" t="s">
        <v>230</v>
      </c>
      <c r="C8" s="53">
        <v>2</v>
      </c>
      <c r="D8" s="54"/>
      <c r="E8" s="58"/>
    </row>
    <row r="9" spans="1:6" x14ac:dyDescent="0.25">
      <c r="A9" s="52">
        <v>3</v>
      </c>
      <c r="B9" s="53" t="s">
        <v>238</v>
      </c>
      <c r="C9" s="53">
        <v>3</v>
      </c>
      <c r="D9" s="54"/>
      <c r="E9" s="58"/>
    </row>
    <row r="10" spans="1:6" x14ac:dyDescent="0.25">
      <c r="A10" s="52">
        <v>4</v>
      </c>
      <c r="B10" s="53"/>
      <c r="C10" s="53"/>
      <c r="D10" s="54"/>
      <c r="E10" s="58"/>
    </row>
    <row r="11" spans="1:6" x14ac:dyDescent="0.25">
      <c r="A11" s="52">
        <v>5</v>
      </c>
      <c r="B11" s="53"/>
      <c r="C11" s="53"/>
      <c r="D11" s="54"/>
      <c r="E11" s="58"/>
    </row>
    <row r="12" spans="1:6" x14ac:dyDescent="0.25">
      <c r="A12" s="52">
        <v>6</v>
      </c>
      <c r="B12" s="53"/>
      <c r="C12" s="53"/>
      <c r="D12" s="54"/>
      <c r="E12" s="58"/>
    </row>
    <row r="13" spans="1:6" x14ac:dyDescent="0.25">
      <c r="A13" s="52">
        <v>7</v>
      </c>
      <c r="B13" s="53"/>
      <c r="C13" s="53"/>
      <c r="D13" s="54"/>
      <c r="E13" s="58"/>
    </row>
    <row r="14" spans="1:6" x14ac:dyDescent="0.25">
      <c r="A14" s="52">
        <v>8</v>
      </c>
      <c r="B14" s="53"/>
      <c r="C14" s="53"/>
      <c r="D14" s="54"/>
      <c r="E14" s="58"/>
    </row>
    <row r="15" spans="1:6" x14ac:dyDescent="0.25">
      <c r="A15" s="52">
        <v>9</v>
      </c>
      <c r="B15" s="53"/>
      <c r="C15" s="53"/>
      <c r="D15" s="54"/>
      <c r="E15" s="58"/>
    </row>
    <row r="16" spans="1:6" x14ac:dyDescent="0.25">
      <c r="A16" s="52">
        <v>10</v>
      </c>
      <c r="B16" s="53"/>
      <c r="C16" s="53"/>
      <c r="D16" s="54"/>
      <c r="E16" s="58"/>
    </row>
    <row r="17" spans="1:5" x14ac:dyDescent="0.25">
      <c r="A17" s="52">
        <v>11</v>
      </c>
      <c r="B17" s="53"/>
      <c r="C17" s="53"/>
      <c r="D17" s="54"/>
      <c r="E17" s="58"/>
    </row>
    <row r="18" spans="1:5" x14ac:dyDescent="0.25">
      <c r="A18" s="52">
        <v>12</v>
      </c>
      <c r="B18" s="53"/>
      <c r="C18" s="53"/>
      <c r="D18" s="54"/>
      <c r="E18" s="58"/>
    </row>
  </sheetData>
  <mergeCells count="2">
    <mergeCell ref="A1:F1"/>
    <mergeCell ref="A2:F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</vt:lpstr>
      <vt:lpstr>لیست حضور و غیاب</vt:lpstr>
      <vt:lpstr>سمانه عقاپور</vt:lpstr>
      <vt:lpstr>مریم داداشی</vt:lpstr>
      <vt:lpstr>'1'!Print_Area</vt:lpstr>
      <vt:lpstr>'لیست حضور و غیاب'!Print_Area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diatell</dc:creator>
  <cp:lastModifiedBy>babak</cp:lastModifiedBy>
  <cp:lastPrinted>2026-08-01T02:59:00Z</cp:lastPrinted>
  <dcterms:created xsi:type="dcterms:W3CDTF">2015-06-05T18:17:20Z</dcterms:created>
  <dcterms:modified xsi:type="dcterms:W3CDTF">2026-08-01T15:43:39Z</dcterms:modified>
</cp:coreProperties>
</file>